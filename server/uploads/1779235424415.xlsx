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a\Desktop\TC\"/>
    </mc:Choice>
  </mc:AlternateContent>
  <xr:revisionPtr revIDLastSave="0" documentId="13_ncr:1_{1CD7BB23-9BFA-42D8-8B11-7C66C47A7804}" xr6:coauthVersionLast="47" xr6:coauthVersionMax="47" xr10:uidLastSave="{00000000-0000-0000-0000-000000000000}"/>
  <bookViews>
    <workbookView xWindow="-120" yWindow="-120" windowWidth="20730" windowHeight="11040" xr2:uid="{2FC21043-CC97-4880-B376-3C47F04C7932}"/>
  </bookViews>
  <sheets>
    <sheet name="Hoja1" sheetId="1" r:id="rId1"/>
  </sheets>
  <definedNames>
    <definedName name="_xlnm.Print_Area" localSheetId="0">Hoja1!$A$1:$I$118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1" i="1" l="1"/>
  <c r="F91" i="1"/>
  <c r="H91" i="1"/>
  <c r="D2" i="1"/>
  <c r="F2" i="1"/>
  <c r="H2" i="1"/>
  <c r="D3" i="1"/>
  <c r="F3" i="1"/>
  <c r="H3" i="1"/>
  <c r="D4" i="1"/>
  <c r="F4" i="1"/>
  <c r="H4" i="1"/>
  <c r="H107" i="1"/>
  <c r="H108" i="1"/>
  <c r="H92" i="1"/>
  <c r="H95" i="1"/>
  <c r="H96" i="1"/>
  <c r="H99" i="1"/>
  <c r="H103" i="1"/>
  <c r="H100" i="1"/>
  <c r="H102" i="1"/>
  <c r="H104" i="1"/>
  <c r="H114" i="1"/>
  <c r="H113" i="1"/>
  <c r="H101" i="1"/>
  <c r="H106" i="1"/>
  <c r="H111" i="1"/>
  <c r="H110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93" i="1"/>
  <c r="H94" i="1"/>
  <c r="H97" i="1"/>
  <c r="H98" i="1"/>
  <c r="H105" i="1"/>
  <c r="H109" i="1"/>
  <c r="H112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H47" i="1"/>
  <c r="F47" i="1"/>
  <c r="D4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9" i="1"/>
  <c r="H10" i="1"/>
  <c r="H11" i="1"/>
  <c r="H12" i="1"/>
  <c r="H13" i="1"/>
  <c r="H14" i="1"/>
  <c r="H15" i="1"/>
  <c r="H16" i="1"/>
  <c r="H17" i="1"/>
  <c r="H8" i="1"/>
  <c r="F20" i="1"/>
  <c r="F21" i="1"/>
  <c r="F22" i="1"/>
  <c r="F23" i="1"/>
  <c r="F24" i="1"/>
  <c r="F25" i="1"/>
  <c r="F26" i="1"/>
  <c r="F27" i="1"/>
  <c r="F28" i="1"/>
  <c r="F29" i="1"/>
  <c r="F30" i="1"/>
  <c r="F31" i="1"/>
  <c r="F9" i="1"/>
  <c r="F10" i="1"/>
  <c r="F11" i="1"/>
  <c r="F12" i="1"/>
  <c r="F13" i="1"/>
  <c r="F14" i="1"/>
  <c r="F15" i="1"/>
  <c r="F16" i="1"/>
  <c r="F17" i="1"/>
  <c r="F18" i="1"/>
  <c r="F19" i="1"/>
  <c r="F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8" i="1"/>
</calcChain>
</file>

<file path=xl/sharedStrings.xml><?xml version="1.0" encoding="utf-8"?>
<sst xmlns="http://schemas.openxmlformats.org/spreadsheetml/2006/main" count="107" uniqueCount="87">
  <si>
    <t>Variable</t>
  </si>
  <si>
    <t>Teórico</t>
  </si>
  <si>
    <t>Proteus</t>
  </si>
  <si>
    <t>ΔProteus</t>
  </si>
  <si>
    <t>Tinkercad</t>
  </si>
  <si>
    <t>ΔTinkercad</t>
  </si>
  <si>
    <t>Multímetro</t>
  </si>
  <si>
    <t>Δmultímetro</t>
  </si>
  <si>
    <t>Rt (Ω)</t>
  </si>
  <si>
    <t>Vt (V)</t>
  </si>
  <si>
    <t>It (mA)</t>
  </si>
  <si>
    <t>Ri (Ω)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</si>
  <si>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</si>
  <si>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</si>
  <si>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</si>
  <si>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</si>
  <si>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</si>
  <si>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</si>
  <si>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</si>
  <si>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</si>
  <si>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</si>
  <si>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</si>
  <si>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</si>
  <si>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</si>
  <si>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</si>
  <si>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</si>
  <si>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</si>
  <si>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</si>
  <si>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</si>
  <si>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</si>
  <si>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</si>
  <si>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</si>
  <si>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</si>
  <si>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</si>
  <si>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</si>
  <si>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</si>
  <si>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VRi (V)</t>
  </si>
  <si>
    <t>IRi (mA)</t>
  </si>
  <si>
    <t>VR01</t>
  </si>
  <si>
    <t>VR02</t>
  </si>
  <si>
    <t>VR03</t>
  </si>
  <si>
    <t>VR04</t>
  </si>
  <si>
    <t>VR05</t>
  </si>
  <si>
    <t>VR06</t>
  </si>
  <si>
    <t>VR07</t>
  </si>
  <si>
    <t>VR08</t>
  </si>
  <si>
    <t>VR09</t>
  </si>
  <si>
    <t>VR10</t>
  </si>
  <si>
    <t>VR11</t>
  </si>
  <si>
    <t>VR12</t>
  </si>
  <si>
    <t>VR13</t>
  </si>
  <si>
    <t>VR14</t>
  </si>
  <si>
    <t>VR15</t>
  </si>
  <si>
    <t>VR16</t>
  </si>
  <si>
    <t>VR17</t>
  </si>
  <si>
    <t>VR18</t>
  </si>
  <si>
    <t>VR19</t>
  </si>
  <si>
    <t>VR20</t>
  </si>
  <si>
    <t>VR21</t>
  </si>
  <si>
    <t>VR22</t>
  </si>
  <si>
    <t>VR23</t>
  </si>
  <si>
    <t>VR24</t>
  </si>
  <si>
    <t>IR01</t>
  </si>
  <si>
    <t>IR02</t>
  </si>
  <si>
    <t>IR03</t>
  </si>
  <si>
    <t>IR04</t>
  </si>
  <si>
    <t>IR05</t>
  </si>
  <si>
    <t>IR06</t>
  </si>
  <si>
    <t>IR07</t>
  </si>
  <si>
    <t>IR08</t>
  </si>
  <si>
    <t>IR09</t>
  </si>
  <si>
    <t>IR10</t>
  </si>
  <si>
    <t>IR11</t>
  </si>
  <si>
    <t>IR12</t>
  </si>
  <si>
    <t>IR13</t>
  </si>
  <si>
    <t>IR14</t>
  </si>
  <si>
    <t>IR15</t>
  </si>
  <si>
    <t>IR16</t>
  </si>
  <si>
    <t>IR17</t>
  </si>
  <si>
    <t>IR18</t>
  </si>
  <si>
    <t>IR19</t>
  </si>
  <si>
    <t>IR20</t>
  </si>
  <si>
    <t>IR21</t>
  </si>
  <si>
    <t>IR22</t>
  </si>
  <si>
    <t>IR23</t>
  </si>
  <si>
    <t>IR24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</si>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</sst>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%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2" fontId="0" fillId="0" borderId="0" xfId="0" applyNumberFormat="1"/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orcentaje" xfId="1" builtinId="5"/>
  </cellStyles>
  <dxfs count="23">
    <dxf>
      <numFmt numFmtId="14" formatCode="0.00%"/>
    </dxf>
    <dxf>
      <numFmt numFmtId="14" formatCode="0.00%"/>
    </dxf>
    <dxf>
      <numFmt numFmtId="165" formatCode="0.000"/>
    </dxf>
    <dxf>
      <numFmt numFmtId="14" formatCode="0.00%"/>
    </dxf>
    <dxf>
      <numFmt numFmtId="165" formatCode="0.000"/>
    </dxf>
    <dxf>
      <numFmt numFmtId="165" formatCode="0.000"/>
    </dxf>
    <dxf>
      <numFmt numFmtId="14" formatCode="0.00%"/>
    </dxf>
    <dxf>
      <numFmt numFmtId="165" formatCode="0.000"/>
    </dxf>
    <dxf>
      <numFmt numFmtId="14" formatCode="0.00%"/>
    </dxf>
    <dxf>
      <numFmt numFmtId="165" formatCode="0.000"/>
    </dxf>
    <dxf>
      <numFmt numFmtId="14" formatCode="0.00%"/>
    </dxf>
    <dxf>
      <numFmt numFmtId="165" formatCode="0.000"/>
    </dxf>
    <dxf>
      <numFmt numFmtId="165" formatCode="0.0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</dxfs>
  <tableStyles count="1" defaultTableStyle="TableStyleMedium2" defaultPivotStyle="PivotStyleLight16">
    <tableStyle name="Estilo de tabla 1" pivot="0" count="0" xr9:uid="{F8930888-3313-49DB-B145-895005E474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FCEC4A-1F64-4C45-9919-1AFD820BDB61}" name="Tabla2" displayName="Tabla2" ref="A1:H4" totalsRowShown="0">
  <autoFilter ref="A1:H4" xr:uid="{3BFCEC4A-1F64-4C45-9919-1AFD820BDB61}"/>
  <tableColumns count="8">
    <tableColumn id="1" xr3:uid="{E2ED9E2D-7FEC-41B5-AF6E-104E10F78950}" name="Variable"/>
    <tableColumn id="2" xr3:uid="{7518FFF0-7AD9-4DE5-8B6D-6E7283B7BFCB}" name="Teórico"/>
    <tableColumn id="3" xr3:uid="{35280FB9-8414-4997-81F8-D962BF51818A}" name="Proteus"/>
    <tableColumn id="4" xr3:uid="{DF867822-6467-4549-819F-CFAAF441D57E}" name="ΔProteus" dataDxfId="22">
      <calculatedColumnFormula>(C2-B2)/B2</calculatedColumnFormula>
    </tableColumn>
    <tableColumn id="5" xr3:uid="{EB97EECD-917F-4A54-ADC2-99AF3BEE0842}" name="Tinkercad"/>
    <tableColumn id="6" xr3:uid="{672CBFD7-2014-41D8-891C-E6B9277F0691}" name="ΔTinkercad" dataDxfId="21">
      <calculatedColumnFormula>(E2-B2)/B2</calculatedColumnFormula>
    </tableColumn>
    <tableColumn id="7" xr3:uid="{A38E9F59-607A-4A6B-9D58-8C28C1D9F9E1}" name="Multímetro"/>
    <tableColumn id="8" xr3:uid="{CA810296-A947-4D29-AB07-898E1F4A1F47}" name="Δmultímetro" dataDxfId="20">
      <calculatedColumnFormula>(G2-B2)/B2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271618-D55C-4EAA-9CD6-2C178D329194}" name="Tabla3" displayName="Tabla3" ref="A7:H31" totalsRowShown="0">
  <autoFilter ref="A7:H31" xr:uid="{B2271618-D55C-4EAA-9CD6-2C178D329194}"/>
  <tableColumns count="8">
    <tableColumn id="1" xr3:uid="{F786F527-A477-4D31-ADD6-7D9AB3418874}" name="Ri (Ω)"/>
    <tableColumn id="2" xr3:uid="{7C8064C0-B09A-4C3F-9E2C-726A9BF0E98C}" name="Teórico" dataDxfId="19"/>
    <tableColumn id="3" xr3:uid="{444EEDDE-9035-4C03-B12A-5B75C3462082}" name="Proteus" dataDxfId="18"/>
    <tableColumn id="4" xr3:uid="{2C7BB72B-1708-4880-9D27-5B32A78880F0}" name="ΔProteus" dataDxfId="17">
      <calculatedColumnFormula>(C8-B8)/B8</calculatedColumnFormula>
    </tableColumn>
    <tableColumn id="5" xr3:uid="{75785616-C7DC-4D08-834F-AF2C43474D99}" name="Tinkercad" dataDxfId="16"/>
    <tableColumn id="6" xr3:uid="{618F39AD-0314-4876-8C1D-3CDD0C3CDAB2}" name="ΔTinkercad" dataDxfId="15">
      <calculatedColumnFormula>(E8-B8)/B8</calculatedColumnFormula>
    </tableColumn>
    <tableColumn id="7" xr3:uid="{28234D94-859B-4C71-8ED5-31A7E625FDDB}" name="Multímetro" dataDxfId="14"/>
    <tableColumn id="8" xr3:uid="{1710D4D2-968B-4B30-9E42-F5CE17F37D85}" name="Δmultímetro" dataDxfId="13">
      <calculatedColumnFormula>(G8-B8)/B8</calculatedColumnFormula>
    </tableColumn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A3E0DA-D0EC-4D9D-9195-4990879226C5}" name="Tabla4" displayName="Tabla4" ref="A90:H114" totalsRowShown="0">
  <autoFilter ref="A90:H114" xr:uid="{91A3E0DA-D0EC-4D9D-9195-4990879226C5}"/>
  <tableColumns count="8">
    <tableColumn id="1" xr3:uid="{4090E0DF-7155-46F8-8A89-D986FC205914}" name="IRi (mA)"/>
    <tableColumn id="2" xr3:uid="{39FC24FD-9D75-4BC0-98CF-C7423C774B93}" name="Valor" dataDxfId="12"/>
    <tableColumn id="3" xr3:uid="{FA524ACB-8A5D-4D5E-ACE3-E39A4336DCFE}" name="Proteus" dataDxfId="11"/>
    <tableColumn id="4" xr3:uid="{FB5EDF29-A8A9-48D8-93F5-7FE13E0690C7}" name="ΔProteus" dataDxfId="10">
      <calculatedColumnFormula>(C91-B91)/B91</calculatedColumnFormula>
    </tableColumn>
    <tableColumn id="5" xr3:uid="{F1DF5195-DD2D-4C97-A6E7-6663973AEDD1}" name="Tinkercad" dataDxfId="9"/>
    <tableColumn id="6" xr3:uid="{A0046417-00BF-4F08-AC6A-7278B4ACBB69}" name="ΔTinkercad" dataDxfId="8">
      <calculatedColumnFormula>(E91-B91)/B91</calculatedColumnFormula>
    </tableColumn>
    <tableColumn id="7" xr3:uid="{FC2E3831-EEC0-4F9F-802D-B5516335F313}" name="Multímetro" dataDxfId="7"/>
    <tableColumn id="8" xr3:uid="{E8E13E3B-57FC-4479-B057-DE1E9496C3C2}" name="Δmultímetro" dataDxfId="6">
      <calculatedColumnFormula>(G91-B91)/B91</calculatedColumnFormula>
    </tableColumn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FF868B-CA8D-43D2-9879-CF57CB9E7F44}" name="Tabla5" displayName="Tabla5" ref="A46:H70" totalsRowShown="0">
  <autoFilter ref="A46:H70" xr:uid="{9BFF868B-CA8D-43D2-9879-CF57CB9E7F44}"/>
  <tableColumns count="8">
    <tableColumn id="1" xr3:uid="{644FCED4-A9BF-4B45-B176-08BA9EB11B69}" name="VRi (V)"/>
    <tableColumn id="2" xr3:uid="{2B014CF1-9B81-4619-8312-4A72A8E08E07}" name="Valor" dataDxfId="5"/>
    <tableColumn id="3" xr3:uid="{8C1C00D3-ADBE-4E08-9589-78BFF18D0DAE}" name="Proteus" dataDxfId="4"/>
    <tableColumn id="4" xr3:uid="{85D5A02F-B2B0-4B24-A447-69BD50E9499F}" name="ΔProteus" dataDxfId="3">
      <calculatedColumnFormula>(C47-B47)/B47</calculatedColumnFormula>
    </tableColumn>
    <tableColumn id="5" xr3:uid="{AF797D65-CD7E-49C0-8A98-E98811ABAE36}" name="Tinkercad" dataDxfId="2"/>
    <tableColumn id="6" xr3:uid="{545ED15E-A385-4FC1-B49A-E3750C9A0555}" name="ΔTinkercad" dataDxfId="1">
      <calculatedColumnFormula>(E47-B47)/B47</calculatedColumnFormula>
    </tableColumn>
    <tableColumn id="7" xr3:uid="{1D0774F6-98E5-4CDC-B5F1-719F8175CDC9}" name="Multímetro"/>
    <tableColumn id="8" xr3:uid="{A1FD7722-5B8E-41A5-87A1-B589DB631FC4}" name="Δmultímetro" dataDxfId="0">
      <calculatedColumnFormula>(G47-B47)/B47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2B7B1-23F5-4ECB-B871-49DF011EA087}">
  <dimension ref="A1:J114"/>
  <sheetViews>
    <sheetView tabSelected="1" view="pageBreakPreview" topLeftCell="A86" zoomScale="66" zoomScaleNormal="116" workbookViewId="0">
      <selection activeCell="H114" sqref="A90:H114"/>
    </sheetView>
  </sheetViews>
  <sheetFormatPr baseColWidth="10" defaultRowHeight="15" x14ac:dyDescent="0.25"/>
  <cols>
    <col min="1" max="1" width="8.140625" customWidth="1"/>
    <col min="2" max="2" width="9.28515625" customWidth="1"/>
    <col min="3" max="3" width="10.5703125" customWidth="1"/>
    <col min="4" max="4" width="9.42578125" customWidth="1"/>
    <col min="5" max="5" width="9.140625" customWidth="1"/>
    <col min="6" max="6" width="10" customWidth="1"/>
    <col min="7" max="7" width="10.42578125" customWidth="1"/>
    <col min="8" max="8" width="12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5">
      <c r="A2" t="s">
        <v>8</v>
      </c>
      <c r="B2">
        <v>4423</v>
      </c>
      <c r="C2">
        <v>4428</v>
      </c>
      <c r="D2" s="1">
        <f>(C2-B2)/B2</f>
        <v>1.1304544426859599E-3</v>
      </c>
      <c r="E2">
        <v>4430</v>
      </c>
      <c r="F2" s="1">
        <f>(E2-B2)/B2</f>
        <v>1.5826362197603437E-3</v>
      </c>
      <c r="G2">
        <v>4450</v>
      </c>
      <c r="H2" s="1">
        <f>(G2-B2)/B2</f>
        <v>6.1044539905041823E-3</v>
      </c>
    </row>
    <row r="3" spans="1:10" x14ac:dyDescent="0.25">
      <c r="A3" t="s">
        <v>9</v>
      </c>
      <c r="B3">
        <v>12</v>
      </c>
      <c r="C3">
        <v>12</v>
      </c>
      <c r="D3" s="1">
        <f t="shared" ref="D3:D4" si="0">(C3-B3)/B3</f>
        <v>0</v>
      </c>
      <c r="E3">
        <v>12</v>
      </c>
      <c r="F3" s="1">
        <f t="shared" ref="F3:F4" si="1">(E3-B3)/B3</f>
        <v>0</v>
      </c>
      <c r="G3">
        <v>12</v>
      </c>
      <c r="H3" s="1">
        <f t="shared" ref="H3:H4" si="2">(G3-B3)/B3</f>
        <v>0</v>
      </c>
    </row>
    <row r="4" spans="1:10" x14ac:dyDescent="0.25">
      <c r="A4" t="s">
        <v>10</v>
      </c>
      <c r="B4">
        <v>2.71</v>
      </c>
      <c r="C4">
        <v>2.71</v>
      </c>
      <c r="D4" s="1">
        <f t="shared" si="0"/>
        <v>0</v>
      </c>
      <c r="E4">
        <v>2.71</v>
      </c>
      <c r="F4" s="1">
        <f t="shared" si="1"/>
        <v>0</v>
      </c>
      <c r="G4">
        <v>2.69</v>
      </c>
      <c r="H4" s="1">
        <f t="shared" si="2"/>
        <v>-7.3800738007380141E-3</v>
      </c>
    </row>
    <row r="7" spans="1:10" x14ac:dyDescent="0.25">
      <c r="A7" t="s">
        <v>11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10" x14ac:dyDescent="0.25">
      <c r="A8" t="s">
        <v>12</v>
      </c>
      <c r="B8" s="2">
        <v>4600</v>
      </c>
      <c r="C8" s="2">
        <v>4600</v>
      </c>
      <c r="D8" s="1">
        <f>(C8-B8)/B8</f>
        <v>0</v>
      </c>
      <c r="E8" s="2">
        <v>4600</v>
      </c>
      <c r="F8" s="1">
        <f>(E8-B8)/B8</f>
        <v>0</v>
      </c>
      <c r="G8" s="2">
        <v>4620</v>
      </c>
      <c r="H8" s="1">
        <f>(G8-B8)/B8</f>
        <v>4.3478260869565218E-3</v>
      </c>
      <c r="J8" s="3"/>
    </row>
    <row r="9" spans="1:10" x14ac:dyDescent="0.25">
      <c r="A9" t="s">
        <v>13</v>
      </c>
      <c r="B9" s="2">
        <v>5500</v>
      </c>
      <c r="C9" s="2">
        <v>5500</v>
      </c>
      <c r="D9" s="1">
        <f t="shared" ref="D9:D31" si="3">(C9-B9)/B9</f>
        <v>0</v>
      </c>
      <c r="E9" s="2">
        <v>5500</v>
      </c>
      <c r="F9" s="1">
        <f t="shared" ref="F9:F31" si="4">(E9-B9)/B9</f>
        <v>0</v>
      </c>
      <c r="G9" s="2">
        <v>5510</v>
      </c>
      <c r="H9" s="1">
        <f t="shared" ref="H9:H31" si="5">(G9-B9)/B9</f>
        <v>1.8181818181818182E-3</v>
      </c>
      <c r="J9" s="3"/>
    </row>
    <row r="10" spans="1:10" x14ac:dyDescent="0.25">
      <c r="A10" t="s">
        <v>14</v>
      </c>
      <c r="B10" s="2">
        <v>530</v>
      </c>
      <c r="C10" s="2">
        <v>530</v>
      </c>
      <c r="D10" s="1">
        <f t="shared" si="3"/>
        <v>0</v>
      </c>
      <c r="E10" s="2">
        <v>530</v>
      </c>
      <c r="F10" s="1">
        <f t="shared" si="4"/>
        <v>0</v>
      </c>
      <c r="G10" s="2">
        <v>539</v>
      </c>
      <c r="H10" s="1">
        <f t="shared" si="5"/>
        <v>1.6981132075471698E-2</v>
      </c>
      <c r="J10" s="3"/>
    </row>
    <row r="11" spans="1:10" x14ac:dyDescent="0.25">
      <c r="A11" t="s">
        <v>15</v>
      </c>
      <c r="B11" s="2">
        <v>460</v>
      </c>
      <c r="C11" s="2">
        <v>460</v>
      </c>
      <c r="D11" s="1">
        <f t="shared" si="3"/>
        <v>0</v>
      </c>
      <c r="E11" s="2">
        <v>460</v>
      </c>
      <c r="F11" s="1">
        <f t="shared" si="4"/>
        <v>0</v>
      </c>
      <c r="G11" s="2">
        <v>467</v>
      </c>
      <c r="H11" s="1">
        <f t="shared" si="5"/>
        <v>1.5217391304347827E-2</v>
      </c>
      <c r="J11" s="3"/>
    </row>
    <row r="12" spans="1:10" x14ac:dyDescent="0.25">
      <c r="A12" t="s">
        <v>16</v>
      </c>
      <c r="B12" s="2">
        <v>8200</v>
      </c>
      <c r="C12" s="2">
        <v>8200</v>
      </c>
      <c r="D12" s="1">
        <f t="shared" si="3"/>
        <v>0</v>
      </c>
      <c r="E12" s="2">
        <v>8200</v>
      </c>
      <c r="F12" s="1">
        <f t="shared" si="4"/>
        <v>0</v>
      </c>
      <c r="G12" s="2">
        <v>8240</v>
      </c>
      <c r="H12" s="1">
        <f t="shared" si="5"/>
        <v>4.8780487804878049E-3</v>
      </c>
      <c r="J12" s="3"/>
    </row>
    <row r="13" spans="1:10" x14ac:dyDescent="0.25">
      <c r="A13" t="s">
        <v>17</v>
      </c>
      <c r="B13" s="2">
        <v>220</v>
      </c>
      <c r="C13" s="2">
        <v>220</v>
      </c>
      <c r="D13" s="1">
        <f t="shared" si="3"/>
        <v>0</v>
      </c>
      <c r="E13" s="2">
        <v>220</v>
      </c>
      <c r="F13" s="1">
        <f t="shared" si="4"/>
        <v>0</v>
      </c>
      <c r="G13" s="2">
        <v>216</v>
      </c>
      <c r="H13" s="1">
        <f t="shared" si="5"/>
        <v>-1.8181818181818181E-2</v>
      </c>
      <c r="J13" s="3"/>
    </row>
    <row r="14" spans="1:10" x14ac:dyDescent="0.25">
      <c r="A14" t="s">
        <v>18</v>
      </c>
      <c r="B14" s="2">
        <v>1000</v>
      </c>
      <c r="C14" s="2">
        <v>1000</v>
      </c>
      <c r="D14" s="1">
        <f t="shared" si="3"/>
        <v>0</v>
      </c>
      <c r="E14" s="2">
        <v>1000</v>
      </c>
      <c r="F14" s="1">
        <f t="shared" si="4"/>
        <v>0</v>
      </c>
      <c r="G14" s="2">
        <v>979</v>
      </c>
      <c r="H14" s="1">
        <f t="shared" si="5"/>
        <v>-2.1000000000000001E-2</v>
      </c>
      <c r="J14" s="3"/>
    </row>
    <row r="15" spans="1:10" x14ac:dyDescent="0.25">
      <c r="A15" t="s">
        <v>19</v>
      </c>
      <c r="B15" s="2">
        <v>390</v>
      </c>
      <c r="C15" s="2">
        <v>390</v>
      </c>
      <c r="D15" s="1">
        <f t="shared" si="3"/>
        <v>0</v>
      </c>
      <c r="E15" s="2">
        <v>390</v>
      </c>
      <c r="F15" s="1">
        <f t="shared" si="4"/>
        <v>0</v>
      </c>
      <c r="G15" s="2">
        <v>391</v>
      </c>
      <c r="H15" s="1">
        <f t="shared" si="5"/>
        <v>2.5641025641025641E-3</v>
      </c>
      <c r="J15" s="3"/>
    </row>
    <row r="16" spans="1:10" x14ac:dyDescent="0.25">
      <c r="A16" t="s">
        <v>20</v>
      </c>
      <c r="B16" s="2">
        <v>10000</v>
      </c>
      <c r="C16" s="2">
        <v>10000</v>
      </c>
      <c r="D16" s="1">
        <f t="shared" si="3"/>
        <v>0</v>
      </c>
      <c r="E16" s="2">
        <v>10000</v>
      </c>
      <c r="F16" s="1">
        <f t="shared" si="4"/>
        <v>0</v>
      </c>
      <c r="G16" s="2">
        <v>9990</v>
      </c>
      <c r="H16" s="1">
        <f t="shared" si="5"/>
        <v>-1E-3</v>
      </c>
      <c r="J16" s="3"/>
    </row>
    <row r="17" spans="1:10" x14ac:dyDescent="0.25">
      <c r="A17" t="s">
        <v>21</v>
      </c>
      <c r="B17" s="2">
        <v>2600</v>
      </c>
      <c r="C17" s="2">
        <v>2600</v>
      </c>
      <c r="D17" s="1">
        <f t="shared" si="3"/>
        <v>0</v>
      </c>
      <c r="E17" s="2">
        <v>2600</v>
      </c>
      <c r="F17" s="1">
        <f t="shared" si="4"/>
        <v>0</v>
      </c>
      <c r="G17" s="2">
        <v>2647</v>
      </c>
      <c r="H17" s="1">
        <f t="shared" si="5"/>
        <v>1.8076923076923077E-2</v>
      </c>
      <c r="J17" s="3"/>
    </row>
    <row r="18" spans="1:10" x14ac:dyDescent="0.25">
      <c r="A18" t="s">
        <v>22</v>
      </c>
      <c r="B18" s="2">
        <v>1500</v>
      </c>
      <c r="C18" s="2">
        <v>1500</v>
      </c>
      <c r="D18" s="1">
        <f t="shared" si="3"/>
        <v>0</v>
      </c>
      <c r="E18" s="2">
        <v>1500</v>
      </c>
      <c r="F18" s="1">
        <f t="shared" si="4"/>
        <v>0</v>
      </c>
      <c r="G18" s="2">
        <v>1471</v>
      </c>
      <c r="H18" s="1">
        <f t="shared" si="5"/>
        <v>-1.9333333333333334E-2</v>
      </c>
      <c r="J18" s="3"/>
    </row>
    <row r="19" spans="1:10" x14ac:dyDescent="0.25">
      <c r="A19" t="s">
        <v>23</v>
      </c>
      <c r="B19" s="2">
        <v>180</v>
      </c>
      <c r="C19" s="2">
        <v>180</v>
      </c>
      <c r="D19" s="1">
        <f t="shared" si="3"/>
        <v>0</v>
      </c>
      <c r="E19" s="2">
        <v>180</v>
      </c>
      <c r="F19" s="1">
        <f t="shared" si="4"/>
        <v>0</v>
      </c>
      <c r="G19" s="2">
        <v>179</v>
      </c>
      <c r="H19" s="1">
        <f t="shared" si="5"/>
        <v>-5.5555555555555558E-3</v>
      </c>
      <c r="J19" s="3"/>
    </row>
    <row r="20" spans="1:10" x14ac:dyDescent="0.25">
      <c r="A20" t="s">
        <v>24</v>
      </c>
      <c r="B20" s="2">
        <v>6800</v>
      </c>
      <c r="C20" s="2">
        <v>6800</v>
      </c>
      <c r="D20" s="1">
        <f t="shared" si="3"/>
        <v>0</v>
      </c>
      <c r="E20" s="2">
        <v>6800</v>
      </c>
      <c r="F20" s="1">
        <f>(E20-B20)/B20</f>
        <v>0</v>
      </c>
      <c r="G20" s="2">
        <v>6830</v>
      </c>
      <c r="H20" s="1">
        <f t="shared" si="5"/>
        <v>4.4117647058823529E-3</v>
      </c>
      <c r="J20" s="3"/>
    </row>
    <row r="21" spans="1:10" x14ac:dyDescent="0.25">
      <c r="A21" t="s">
        <v>25</v>
      </c>
      <c r="B21" s="2">
        <v>3900</v>
      </c>
      <c r="C21" s="2">
        <v>3900</v>
      </c>
      <c r="D21" s="1">
        <f t="shared" si="3"/>
        <v>0</v>
      </c>
      <c r="E21" s="2">
        <v>3900</v>
      </c>
      <c r="F21" s="1">
        <f t="shared" si="4"/>
        <v>0</v>
      </c>
      <c r="G21" s="2">
        <v>3840</v>
      </c>
      <c r="H21" s="1">
        <f t="shared" si="5"/>
        <v>-1.5384615384615385E-2</v>
      </c>
      <c r="J21" s="3"/>
    </row>
    <row r="22" spans="1:10" x14ac:dyDescent="0.25">
      <c r="A22" t="s">
        <v>26</v>
      </c>
      <c r="B22" s="2">
        <v>2000</v>
      </c>
      <c r="C22" s="2">
        <v>2000</v>
      </c>
      <c r="D22" s="1">
        <f t="shared" si="3"/>
        <v>0</v>
      </c>
      <c r="E22" s="2">
        <v>2000</v>
      </c>
      <c r="F22" s="1">
        <f t="shared" si="4"/>
        <v>0</v>
      </c>
      <c r="G22" s="2">
        <v>2013</v>
      </c>
      <c r="H22" s="1">
        <f t="shared" si="5"/>
        <v>6.4999999999999997E-3</v>
      </c>
      <c r="J22" s="3"/>
    </row>
    <row r="23" spans="1:10" x14ac:dyDescent="0.25">
      <c r="A23" t="s">
        <v>27</v>
      </c>
      <c r="B23" s="2">
        <v>270</v>
      </c>
      <c r="C23" s="2">
        <v>270</v>
      </c>
      <c r="D23" s="1">
        <f t="shared" si="3"/>
        <v>0</v>
      </c>
      <c r="E23" s="2">
        <v>270</v>
      </c>
      <c r="F23" s="1">
        <f t="shared" si="4"/>
        <v>0</v>
      </c>
      <c r="G23" s="2">
        <v>271</v>
      </c>
      <c r="H23" s="1">
        <f t="shared" si="5"/>
        <v>3.7037037037037038E-3</v>
      </c>
      <c r="J23" s="3"/>
    </row>
    <row r="24" spans="1:10" x14ac:dyDescent="0.25">
      <c r="A24" t="s">
        <v>28</v>
      </c>
      <c r="B24" s="2">
        <v>3300</v>
      </c>
      <c r="C24" s="2">
        <v>3300</v>
      </c>
      <c r="D24" s="1">
        <f t="shared" si="3"/>
        <v>0</v>
      </c>
      <c r="E24" s="2">
        <v>3300</v>
      </c>
      <c r="F24" s="1">
        <f t="shared" si="4"/>
        <v>0</v>
      </c>
      <c r="G24" s="2">
        <v>3314</v>
      </c>
      <c r="H24" s="1">
        <f t="shared" si="5"/>
        <v>4.2424242424242429E-3</v>
      </c>
      <c r="J24" s="3"/>
    </row>
    <row r="25" spans="1:10" x14ac:dyDescent="0.25">
      <c r="A25" t="s">
        <v>29</v>
      </c>
      <c r="B25" s="2">
        <v>330</v>
      </c>
      <c r="C25" s="2">
        <v>330</v>
      </c>
      <c r="D25" s="1">
        <f t="shared" si="3"/>
        <v>0</v>
      </c>
      <c r="E25" s="2">
        <v>330</v>
      </c>
      <c r="F25" s="1">
        <f t="shared" si="4"/>
        <v>0</v>
      </c>
      <c r="G25" s="2">
        <v>327</v>
      </c>
      <c r="H25" s="1">
        <f t="shared" si="5"/>
        <v>-9.0909090909090905E-3</v>
      </c>
      <c r="J25" s="3"/>
    </row>
    <row r="26" spans="1:10" x14ac:dyDescent="0.25">
      <c r="A26" t="s">
        <v>30</v>
      </c>
      <c r="B26" s="2">
        <v>1800</v>
      </c>
      <c r="C26" s="2">
        <v>1800</v>
      </c>
      <c r="D26" s="1">
        <f t="shared" si="3"/>
        <v>0</v>
      </c>
      <c r="E26" s="2">
        <v>1800</v>
      </c>
      <c r="F26" s="1">
        <f t="shared" si="4"/>
        <v>0</v>
      </c>
      <c r="G26" s="2">
        <v>1817</v>
      </c>
      <c r="H26" s="1">
        <f t="shared" si="5"/>
        <v>9.4444444444444445E-3</v>
      </c>
      <c r="J26" s="3"/>
    </row>
    <row r="27" spans="1:10" x14ac:dyDescent="0.25">
      <c r="A27" t="s">
        <v>31</v>
      </c>
      <c r="B27" s="2">
        <v>510</v>
      </c>
      <c r="C27" s="2">
        <v>510</v>
      </c>
      <c r="D27" s="1">
        <f t="shared" si="3"/>
        <v>0</v>
      </c>
      <c r="E27" s="2">
        <v>510</v>
      </c>
      <c r="F27" s="1">
        <f t="shared" si="4"/>
        <v>0</v>
      </c>
      <c r="G27" s="2">
        <v>513</v>
      </c>
      <c r="H27" s="1">
        <f t="shared" si="5"/>
        <v>5.8823529411764705E-3</v>
      </c>
      <c r="J27" s="3"/>
    </row>
    <row r="28" spans="1:10" x14ac:dyDescent="0.25">
      <c r="A28" t="s">
        <v>32</v>
      </c>
      <c r="B28" s="2">
        <v>5000</v>
      </c>
      <c r="C28" s="2">
        <v>5000</v>
      </c>
      <c r="D28" s="1">
        <f t="shared" si="3"/>
        <v>0</v>
      </c>
      <c r="E28" s="2">
        <v>5000</v>
      </c>
      <c r="F28" s="1">
        <f t="shared" si="4"/>
        <v>0</v>
      </c>
      <c r="G28" s="2">
        <v>5080</v>
      </c>
      <c r="H28" s="1">
        <f t="shared" si="5"/>
        <v>1.6E-2</v>
      </c>
      <c r="J28" s="3"/>
    </row>
    <row r="29" spans="1:10" x14ac:dyDescent="0.25">
      <c r="A29" t="s">
        <v>33</v>
      </c>
      <c r="B29" s="2">
        <v>1200</v>
      </c>
      <c r="C29" s="2">
        <v>1200</v>
      </c>
      <c r="D29" s="1">
        <f t="shared" si="3"/>
        <v>0</v>
      </c>
      <c r="E29" s="2">
        <v>1200</v>
      </c>
      <c r="F29" s="1">
        <f t="shared" si="4"/>
        <v>0</v>
      </c>
      <c r="G29" s="2">
        <v>1195</v>
      </c>
      <c r="H29" s="1">
        <f t="shared" si="5"/>
        <v>-4.1666666666666666E-3</v>
      </c>
      <c r="J29" s="3"/>
    </row>
    <row r="30" spans="1:10" x14ac:dyDescent="0.25">
      <c r="A30" t="s">
        <v>34</v>
      </c>
      <c r="B30" s="2">
        <v>150</v>
      </c>
      <c r="C30" s="2">
        <v>150</v>
      </c>
      <c r="D30" s="1">
        <f t="shared" si="3"/>
        <v>0</v>
      </c>
      <c r="E30" s="2">
        <v>150</v>
      </c>
      <c r="F30" s="1">
        <f t="shared" si="4"/>
        <v>0</v>
      </c>
      <c r="G30" s="2">
        <v>148</v>
      </c>
      <c r="H30" s="1">
        <f t="shared" si="5"/>
        <v>-1.3333333333333334E-2</v>
      </c>
      <c r="J30" s="3"/>
    </row>
    <row r="31" spans="1:10" x14ac:dyDescent="0.25">
      <c r="A31" t="s">
        <v>35</v>
      </c>
      <c r="B31" s="2">
        <v>2200</v>
      </c>
      <c r="C31" s="2">
        <v>2200</v>
      </c>
      <c r="D31" s="1">
        <f t="shared" si="3"/>
        <v>0</v>
      </c>
      <c r="E31" s="2">
        <v>2200</v>
      </c>
      <c r="F31" s="1">
        <f t="shared" si="4"/>
        <v>0</v>
      </c>
      <c r="G31" s="2">
        <v>2140</v>
      </c>
      <c r="H31" s="1">
        <f t="shared" si="5"/>
        <v>-2.7272727272727271E-2</v>
      </c>
      <c r="J31" s="3"/>
    </row>
    <row r="32" spans="1:10" x14ac:dyDescent="0.25">
      <c r="J32" s="3"/>
    </row>
    <row r="33" spans="1:10" x14ac:dyDescent="0.25">
      <c r="J33" s="3"/>
    </row>
    <row r="34" spans="1:10" x14ac:dyDescent="0.25">
      <c r="J34" s="3"/>
    </row>
    <row r="35" spans="1:10" x14ac:dyDescent="0.25">
      <c r="J35" s="3"/>
    </row>
    <row r="36" spans="1:10" x14ac:dyDescent="0.25">
      <c r="J36" s="3"/>
    </row>
    <row r="37" spans="1:10" x14ac:dyDescent="0.25">
      <c r="J37" s="3"/>
    </row>
    <row r="38" spans="1:10" x14ac:dyDescent="0.25">
      <c r="J38" s="3"/>
    </row>
    <row r="39" spans="1:10" x14ac:dyDescent="0.25">
      <c r="J39" s="3"/>
    </row>
    <row r="40" spans="1:10" x14ac:dyDescent="0.25">
      <c r="J40" s="3"/>
    </row>
    <row r="41" spans="1:10" x14ac:dyDescent="0.25">
      <c r="J41" s="3"/>
    </row>
    <row r="42" spans="1:10" x14ac:dyDescent="0.25">
      <c r="J42" s="3"/>
    </row>
    <row r="43" spans="1:10" x14ac:dyDescent="0.25">
      <c r="J43" s="3"/>
    </row>
    <row r="44" spans="1:10" x14ac:dyDescent="0.25">
      <c r="J44" s="3"/>
    </row>
    <row r="45" spans="1:10" x14ac:dyDescent="0.25">
      <c r="J45" s="3"/>
    </row>
    <row r="46" spans="1:10" x14ac:dyDescent="0.25">
      <c r="A46" t="s">
        <v>36</v>
      </c>
      <c r="B46" t="s">
        <v>86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J46" s="3"/>
    </row>
    <row r="47" spans="1:10" x14ac:dyDescent="0.25">
      <c r="A47" t="s">
        <v>38</v>
      </c>
      <c r="B47" s="4">
        <v>6.4560000000000004</v>
      </c>
      <c r="C47" s="4">
        <v>6.5</v>
      </c>
      <c r="D47" s="1">
        <f t="shared" ref="D47:D70" si="6">(C47-B47)/B47</f>
        <v>6.8153655514249676E-3</v>
      </c>
      <c r="E47" s="4">
        <v>6.5</v>
      </c>
      <c r="F47" s="1">
        <f t="shared" ref="F47:F70" si="7">(E47-B47)/B47</f>
        <v>6.8153655514249676E-3</v>
      </c>
      <c r="G47" s="4">
        <v>6.48</v>
      </c>
      <c r="H47" s="1">
        <f t="shared" ref="H47:H70" si="8">(G47-B47)/B47</f>
        <v>3.7174721189591107E-3</v>
      </c>
      <c r="J47" s="3"/>
    </row>
    <row r="48" spans="1:10" x14ac:dyDescent="0.25">
      <c r="A48" t="s">
        <v>39</v>
      </c>
      <c r="B48" s="4">
        <v>7.141</v>
      </c>
      <c r="C48" s="4">
        <v>7.14</v>
      </c>
      <c r="D48" s="1">
        <f t="shared" si="6"/>
        <v>-1.4003640946650805E-4</v>
      </c>
      <c r="E48" s="4">
        <v>7.14</v>
      </c>
      <c r="F48" s="1">
        <f t="shared" si="7"/>
        <v>-1.4003640946650805E-4</v>
      </c>
      <c r="G48" s="4">
        <v>7.12</v>
      </c>
      <c r="H48" s="1">
        <f t="shared" si="8"/>
        <v>-2.9407645987956739E-3</v>
      </c>
      <c r="J48" s="3"/>
    </row>
    <row r="49" spans="1:10" x14ac:dyDescent="0.25">
      <c r="A49" t="s">
        <v>40</v>
      </c>
      <c r="B49" s="4">
        <v>0.68</v>
      </c>
      <c r="C49" s="4">
        <v>0.64</v>
      </c>
      <c r="D49" s="1">
        <f t="shared" si="6"/>
        <v>-5.8823529411764754E-2</v>
      </c>
      <c r="E49" s="4">
        <v>0.63800000000000001</v>
      </c>
      <c r="F49" s="1">
        <f t="shared" si="7"/>
        <v>-6.1764705882352992E-2</v>
      </c>
      <c r="G49" s="4">
        <v>0.64200000000000002</v>
      </c>
      <c r="H49" s="1">
        <f t="shared" si="8"/>
        <v>-5.5882352941176515E-2</v>
      </c>
      <c r="J49" s="3"/>
    </row>
    <row r="50" spans="1:10" x14ac:dyDescent="0.25">
      <c r="A50" t="s">
        <v>41</v>
      </c>
      <c r="B50" s="4">
        <v>1.1499999999999999</v>
      </c>
      <c r="C50" s="4">
        <v>1.1499999999999999</v>
      </c>
      <c r="D50" s="1">
        <f t="shared" si="6"/>
        <v>0</v>
      </c>
      <c r="E50" s="4">
        <v>1.1499999999999999</v>
      </c>
      <c r="F50" s="1">
        <f t="shared" si="7"/>
        <v>0</v>
      </c>
      <c r="G50" s="4">
        <v>1.1619999999999999</v>
      </c>
      <c r="H50" s="1">
        <f t="shared" si="8"/>
        <v>1.0434782608695662E-2</v>
      </c>
      <c r="J50" s="3"/>
    </row>
    <row r="51" spans="1:10" x14ac:dyDescent="0.25">
      <c r="A51" t="s">
        <v>42</v>
      </c>
      <c r="B51" s="4">
        <v>1.7</v>
      </c>
      <c r="C51" s="4">
        <v>1.71</v>
      </c>
      <c r="D51" s="1">
        <f t="shared" si="6"/>
        <v>5.8823529411764757E-3</v>
      </c>
      <c r="E51" s="4">
        <v>1.71</v>
      </c>
      <c r="F51" s="1">
        <f t="shared" si="7"/>
        <v>5.8823529411764757E-3</v>
      </c>
      <c r="G51" s="4">
        <v>1.72</v>
      </c>
      <c r="H51" s="1">
        <f t="shared" si="8"/>
        <v>1.1764705882352951E-2</v>
      </c>
      <c r="J51" s="3"/>
    </row>
    <row r="52" spans="1:10" x14ac:dyDescent="0.25">
      <c r="A52" t="s">
        <v>43</v>
      </c>
      <c r="B52" s="4">
        <v>2.8000000000000001E-2</v>
      </c>
      <c r="C52" s="4">
        <v>2.8000000000000001E-2</v>
      </c>
      <c r="D52" s="1">
        <f t="shared" si="6"/>
        <v>0</v>
      </c>
      <c r="E52" s="4">
        <v>2.8000000000000001E-2</v>
      </c>
      <c r="F52" s="1">
        <f t="shared" si="7"/>
        <v>0</v>
      </c>
      <c r="G52" s="4">
        <v>2.8000000000000001E-2</v>
      </c>
      <c r="H52" s="1">
        <f t="shared" si="8"/>
        <v>0</v>
      </c>
      <c r="J52" s="3"/>
    </row>
    <row r="53" spans="1:10" x14ac:dyDescent="0.25">
      <c r="A53" t="s">
        <v>44</v>
      </c>
      <c r="B53" s="4">
        <v>7.6999999999999999E-2</v>
      </c>
      <c r="C53" s="4">
        <v>7.6999999999999999E-2</v>
      </c>
      <c r="D53" s="1">
        <f t="shared" si="6"/>
        <v>0</v>
      </c>
      <c r="E53" s="4">
        <v>7.6999999999999999E-2</v>
      </c>
      <c r="F53" s="1">
        <f t="shared" si="7"/>
        <v>0</v>
      </c>
      <c r="G53" s="4">
        <v>7.6999999999999999E-2</v>
      </c>
      <c r="H53" s="1">
        <f t="shared" si="8"/>
        <v>0</v>
      </c>
      <c r="J53" s="3"/>
    </row>
    <row r="54" spans="1:10" x14ac:dyDescent="0.25">
      <c r="A54" t="s">
        <v>45</v>
      </c>
      <c r="B54" s="4">
        <v>4.8000000000000001E-2</v>
      </c>
      <c r="C54" s="4">
        <v>4.9000000000000002E-2</v>
      </c>
      <c r="D54" s="1">
        <f t="shared" si="6"/>
        <v>2.0833333333333353E-2</v>
      </c>
      <c r="E54" s="4">
        <v>4.9000000000000002E-2</v>
      </c>
      <c r="F54" s="1">
        <f t="shared" si="7"/>
        <v>2.0833333333333353E-2</v>
      </c>
      <c r="G54" s="4">
        <v>4.9000000000000002E-2</v>
      </c>
      <c r="H54" s="1">
        <f t="shared" si="8"/>
        <v>2.0833333333333353E-2</v>
      </c>
      <c r="J54" s="3"/>
    </row>
    <row r="55" spans="1:10" x14ac:dyDescent="0.25">
      <c r="A55" t="s">
        <v>46</v>
      </c>
      <c r="B55" s="4">
        <v>4.8000000000000001E-2</v>
      </c>
      <c r="C55" s="4">
        <v>4.9000000000000002E-2</v>
      </c>
      <c r="D55" s="1">
        <f t="shared" si="6"/>
        <v>2.0833333333333353E-2</v>
      </c>
      <c r="E55" s="4">
        <v>4.9000000000000002E-2</v>
      </c>
      <c r="F55" s="1">
        <f t="shared" si="7"/>
        <v>2.0833333333333353E-2</v>
      </c>
      <c r="G55" s="4">
        <v>4.9000000000000002E-2</v>
      </c>
      <c r="H55" s="1">
        <f t="shared" si="8"/>
        <v>2.0833333333333353E-2</v>
      </c>
      <c r="J55" s="3"/>
    </row>
    <row r="56" spans="1:10" x14ac:dyDescent="0.25">
      <c r="A56" t="s">
        <v>47</v>
      </c>
      <c r="B56" s="4">
        <v>1.5049999999999999</v>
      </c>
      <c r="C56" s="4">
        <v>1.51</v>
      </c>
      <c r="D56" s="1">
        <f t="shared" si="6"/>
        <v>3.3222591362127014E-3</v>
      </c>
      <c r="E56" s="4">
        <v>1.51</v>
      </c>
      <c r="F56" s="1">
        <f t="shared" si="7"/>
        <v>3.3222591362127014E-3</v>
      </c>
      <c r="G56" s="4">
        <v>1.51</v>
      </c>
      <c r="H56" s="1">
        <f t="shared" si="8"/>
        <v>3.3222591362127014E-3</v>
      </c>
      <c r="J56" s="3"/>
    </row>
    <row r="57" spans="1:10" x14ac:dyDescent="0.25">
      <c r="A57" t="s">
        <v>48</v>
      </c>
      <c r="B57" s="4">
        <v>9.1999999999999998E-2</v>
      </c>
      <c r="C57" s="4">
        <v>9.2999999999999999E-2</v>
      </c>
      <c r="D57" s="1">
        <f t="shared" si="6"/>
        <v>1.0869565217391314E-2</v>
      </c>
      <c r="E57" s="4">
        <v>9.2999999999999999E-2</v>
      </c>
      <c r="F57" s="1">
        <f t="shared" si="7"/>
        <v>1.0869565217391314E-2</v>
      </c>
      <c r="G57" s="4">
        <v>9.0999999999999998E-2</v>
      </c>
      <c r="H57" s="1">
        <f t="shared" si="8"/>
        <v>-1.0869565217391314E-2</v>
      </c>
      <c r="J57" s="3"/>
    </row>
    <row r="58" spans="1:10" x14ac:dyDescent="0.25">
      <c r="A58" t="s">
        <v>49</v>
      </c>
      <c r="B58" s="4">
        <v>9.1999999999999998E-2</v>
      </c>
      <c r="C58" s="4">
        <v>9.2999999999999999E-2</v>
      </c>
      <c r="D58" s="1">
        <f t="shared" si="6"/>
        <v>1.0869565217391314E-2</v>
      </c>
      <c r="E58" s="4">
        <v>9.2999999999999999E-2</v>
      </c>
      <c r="F58" s="1">
        <f t="shared" si="7"/>
        <v>1.0869565217391314E-2</v>
      </c>
      <c r="G58" s="4">
        <v>9.0999999999999998E-2</v>
      </c>
      <c r="H58" s="1">
        <f t="shared" si="8"/>
        <v>-1.0869565217391314E-2</v>
      </c>
      <c r="J58" s="3"/>
    </row>
    <row r="59" spans="1:10" x14ac:dyDescent="0.25">
      <c r="A59" t="s">
        <v>50</v>
      </c>
      <c r="B59" s="4">
        <v>0.122</v>
      </c>
      <c r="C59" s="4">
        <v>0.127</v>
      </c>
      <c r="D59" s="1">
        <f t="shared" si="6"/>
        <v>4.0983606557377088E-2</v>
      </c>
      <c r="E59" s="4">
        <v>0.127</v>
      </c>
      <c r="F59" s="1">
        <f t="shared" si="7"/>
        <v>4.0983606557377088E-2</v>
      </c>
      <c r="G59" s="4">
        <v>0.125</v>
      </c>
      <c r="H59" s="1">
        <f t="shared" si="8"/>
        <v>2.4590163934426253E-2</v>
      </c>
      <c r="J59" s="3"/>
    </row>
    <row r="60" spans="1:10" x14ac:dyDescent="0.25">
      <c r="A60" t="s">
        <v>51</v>
      </c>
      <c r="B60" s="4">
        <v>2.3E-2</v>
      </c>
      <c r="C60" s="4">
        <v>2.4E-2</v>
      </c>
      <c r="D60" s="1">
        <f t="shared" si="6"/>
        <v>4.3478260869565258E-2</v>
      </c>
      <c r="E60" s="4">
        <v>2.4E-2</v>
      </c>
      <c r="F60" s="1">
        <f t="shared" si="7"/>
        <v>4.3478260869565258E-2</v>
      </c>
      <c r="G60" s="4">
        <v>2.4E-2</v>
      </c>
      <c r="H60" s="1">
        <f t="shared" si="8"/>
        <v>4.3478260869565258E-2</v>
      </c>
      <c r="J60" s="3"/>
    </row>
    <row r="61" spans="1:10" x14ac:dyDescent="0.25">
      <c r="A61" t="s">
        <v>52</v>
      </c>
      <c r="B61" s="4">
        <v>2.3E-2</v>
      </c>
      <c r="C61" s="4">
        <v>2.4E-2</v>
      </c>
      <c r="D61" s="1">
        <f t="shared" si="6"/>
        <v>4.3478260869565258E-2</v>
      </c>
      <c r="E61" s="4">
        <v>2.4E-2</v>
      </c>
      <c r="F61" s="1">
        <f t="shared" si="7"/>
        <v>4.3478260869565258E-2</v>
      </c>
      <c r="G61" s="4">
        <v>2.4E-2</v>
      </c>
      <c r="H61" s="1">
        <f t="shared" si="8"/>
        <v>4.3478260869565258E-2</v>
      </c>
      <c r="J61" s="3"/>
    </row>
    <row r="62" spans="1:10" x14ac:dyDescent="0.25">
      <c r="A62" t="s">
        <v>53</v>
      </c>
      <c r="B62" s="4">
        <v>0.151</v>
      </c>
      <c r="C62" s="4">
        <v>0.152</v>
      </c>
      <c r="D62" s="1">
        <f t="shared" si="6"/>
        <v>6.6225165562913968E-3</v>
      </c>
      <c r="E62" s="4">
        <v>0.152</v>
      </c>
      <c r="F62" s="1">
        <f t="shared" si="7"/>
        <v>6.6225165562913968E-3</v>
      </c>
      <c r="G62" s="4">
        <v>0.15</v>
      </c>
      <c r="H62" s="1">
        <f t="shared" si="8"/>
        <v>-6.6225165562913968E-3</v>
      </c>
      <c r="J62" s="3"/>
    </row>
    <row r="63" spans="1:10" x14ac:dyDescent="0.25">
      <c r="A63" t="s">
        <v>54</v>
      </c>
      <c r="B63" s="4">
        <v>0.52500000000000002</v>
      </c>
      <c r="C63" s="4">
        <v>0.52600000000000002</v>
      </c>
      <c r="D63" s="1">
        <f t="shared" si="6"/>
        <v>1.9047619047619063E-3</v>
      </c>
      <c r="E63" s="4">
        <v>0.52600000000000002</v>
      </c>
      <c r="F63" s="1">
        <f t="shared" si="7"/>
        <v>1.9047619047619063E-3</v>
      </c>
      <c r="G63" s="4">
        <v>0.52100000000000002</v>
      </c>
      <c r="H63" s="1">
        <f t="shared" si="8"/>
        <v>-7.6190476190476251E-3</v>
      </c>
      <c r="J63" s="3"/>
    </row>
    <row r="64" spans="1:10" x14ac:dyDescent="0.25">
      <c r="A64" t="s">
        <v>55</v>
      </c>
      <c r="B64" s="4">
        <v>0.52500000000000002</v>
      </c>
      <c r="C64" s="4">
        <v>0.52600000000000002</v>
      </c>
      <c r="D64" s="1">
        <f t="shared" si="6"/>
        <v>1.9047619047619063E-3</v>
      </c>
      <c r="E64" s="4">
        <v>0.52600000000000002</v>
      </c>
      <c r="F64" s="1">
        <f t="shared" si="7"/>
        <v>1.9047619047619063E-3</v>
      </c>
      <c r="G64" s="4">
        <v>0.52100000000000002</v>
      </c>
      <c r="H64" s="1">
        <f t="shared" si="8"/>
        <v>-7.6190476190476251E-3</v>
      </c>
      <c r="J64" s="3"/>
    </row>
    <row r="65" spans="1:10" x14ac:dyDescent="0.25">
      <c r="A65" t="s">
        <v>56</v>
      </c>
      <c r="B65" s="4">
        <v>0.52500000000000002</v>
      </c>
      <c r="C65" s="4">
        <v>0.52600000000000002</v>
      </c>
      <c r="D65" s="1">
        <f t="shared" si="6"/>
        <v>1.9047619047619063E-3</v>
      </c>
      <c r="E65" s="4">
        <v>0.52600000000000002</v>
      </c>
      <c r="F65" s="1">
        <f t="shared" si="7"/>
        <v>1.9047619047619063E-3</v>
      </c>
      <c r="G65" s="4">
        <v>0.52100000000000002</v>
      </c>
      <c r="H65" s="1">
        <f t="shared" si="8"/>
        <v>-7.6190476190476251E-3</v>
      </c>
      <c r="J65" s="3"/>
    </row>
    <row r="66" spans="1:10" x14ac:dyDescent="0.25">
      <c r="A66" t="s">
        <v>57</v>
      </c>
      <c r="B66" s="4">
        <v>1.0409999999999999</v>
      </c>
      <c r="C66" s="4">
        <v>1.04</v>
      </c>
      <c r="D66" s="1">
        <f t="shared" si="6"/>
        <v>-9.6061479346771367E-4</v>
      </c>
      <c r="E66" s="4">
        <v>1.04</v>
      </c>
      <c r="F66" s="1">
        <f t="shared" si="7"/>
        <v>-9.6061479346771367E-4</v>
      </c>
      <c r="G66" s="4">
        <v>1.04</v>
      </c>
      <c r="H66" s="1">
        <f t="shared" si="8"/>
        <v>-9.6061479346771367E-4</v>
      </c>
      <c r="J66" s="3"/>
    </row>
    <row r="67" spans="1:10" x14ac:dyDescent="0.25">
      <c r="A67" t="s">
        <v>58</v>
      </c>
      <c r="B67" s="4">
        <v>3.32</v>
      </c>
      <c r="C67" s="4">
        <v>3.33</v>
      </c>
      <c r="D67" s="1">
        <f t="shared" si="6"/>
        <v>3.0120481927711539E-3</v>
      </c>
      <c r="E67" s="4">
        <v>3.33</v>
      </c>
      <c r="F67" s="1">
        <f t="shared" si="7"/>
        <v>3.0120481927711539E-3</v>
      </c>
      <c r="G67" s="4">
        <v>3.32</v>
      </c>
      <c r="H67" s="1">
        <f t="shared" si="8"/>
        <v>0</v>
      </c>
      <c r="J67" s="3"/>
    </row>
    <row r="68" spans="1:10" x14ac:dyDescent="0.25">
      <c r="A68" t="s">
        <v>59</v>
      </c>
      <c r="B68" s="4">
        <v>1.752</v>
      </c>
      <c r="C68" s="4">
        <v>1.76</v>
      </c>
      <c r="D68" s="1">
        <f t="shared" si="6"/>
        <v>4.5662100456621045E-3</v>
      </c>
      <c r="E68" s="4">
        <v>1.76</v>
      </c>
      <c r="F68" s="1">
        <f t="shared" si="7"/>
        <v>4.5662100456621045E-3</v>
      </c>
      <c r="G68" s="4">
        <v>1.752</v>
      </c>
      <c r="H68" s="1">
        <f t="shared" si="8"/>
        <v>0</v>
      </c>
      <c r="J68" s="3"/>
    </row>
    <row r="69" spans="1:10" x14ac:dyDescent="0.25">
      <c r="A69" t="s">
        <v>60</v>
      </c>
      <c r="B69" s="4">
        <v>0.379</v>
      </c>
      <c r="C69" s="4">
        <v>0.38</v>
      </c>
      <c r="D69" s="1">
        <f t="shared" si="6"/>
        <v>2.6385224274406358E-3</v>
      </c>
      <c r="E69" s="4">
        <v>0.38100000000000001</v>
      </c>
      <c r="F69" s="1">
        <f t="shared" si="7"/>
        <v>5.2770448548812715E-3</v>
      </c>
      <c r="G69" s="4">
        <v>0.373</v>
      </c>
      <c r="H69" s="1">
        <f t="shared" si="8"/>
        <v>-1.5831134564643815E-2</v>
      </c>
      <c r="J69" s="3"/>
    </row>
    <row r="70" spans="1:10" x14ac:dyDescent="0.25">
      <c r="A70" t="s">
        <v>61</v>
      </c>
      <c r="B70" s="4">
        <v>0.379</v>
      </c>
      <c r="C70" s="4">
        <v>0.38</v>
      </c>
      <c r="D70" s="1">
        <f t="shared" si="6"/>
        <v>2.6385224274406358E-3</v>
      </c>
      <c r="E70" s="4">
        <v>0.38100000000000001</v>
      </c>
      <c r="F70" s="1">
        <f t="shared" si="7"/>
        <v>5.2770448548812715E-3</v>
      </c>
      <c r="G70" s="4">
        <v>0.373</v>
      </c>
      <c r="H70" s="1">
        <f t="shared" si="8"/>
        <v>-1.5831134564643815E-2</v>
      </c>
      <c r="J70" s="3"/>
    </row>
    <row r="71" spans="1:10" x14ac:dyDescent="0.25">
      <c r="J71" s="3"/>
    </row>
    <row r="72" spans="1:10" x14ac:dyDescent="0.25">
      <c r="J72" s="3"/>
    </row>
    <row r="73" spans="1:10" x14ac:dyDescent="0.25">
      <c r="J73" s="3"/>
    </row>
    <row r="74" spans="1:10" x14ac:dyDescent="0.25">
      <c r="J74" s="3"/>
    </row>
    <row r="75" spans="1:10" x14ac:dyDescent="0.25">
      <c r="J75" s="3"/>
    </row>
    <row r="76" spans="1:10" x14ac:dyDescent="0.25">
      <c r="J76" s="3"/>
    </row>
    <row r="77" spans="1:10" x14ac:dyDescent="0.25">
      <c r="J77" s="3"/>
    </row>
    <row r="78" spans="1:10" x14ac:dyDescent="0.25">
      <c r="J78" s="3"/>
    </row>
    <row r="79" spans="1:10" x14ac:dyDescent="0.25">
      <c r="J79" s="3"/>
    </row>
    <row r="80" spans="1:10" x14ac:dyDescent="0.25">
      <c r="J80" s="3"/>
    </row>
    <row r="81" spans="1:10" x14ac:dyDescent="0.25">
      <c r="J81" s="3"/>
    </row>
    <row r="82" spans="1:10" x14ac:dyDescent="0.25">
      <c r="J82" s="3"/>
    </row>
    <row r="83" spans="1:10" x14ac:dyDescent="0.25">
      <c r="J83" s="3"/>
    </row>
    <row r="84" spans="1:10" x14ac:dyDescent="0.25">
      <c r="J84" s="3"/>
    </row>
    <row r="85" spans="1:10" x14ac:dyDescent="0.25">
      <c r="J85" s="3"/>
    </row>
    <row r="86" spans="1:10" x14ac:dyDescent="0.25">
      <c r="D86" s="1"/>
    </row>
    <row r="90" spans="1:10" x14ac:dyDescent="0.25">
      <c r="A90" t="s">
        <v>37</v>
      </c>
      <c r="B90" s="4" t="s">
        <v>86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7</v>
      </c>
    </row>
    <row r="91" spans="1:10" x14ac:dyDescent="0.25">
      <c r="A91" t="s">
        <v>62</v>
      </c>
      <c r="B91" s="4">
        <v>1.403</v>
      </c>
      <c r="C91" s="4">
        <v>1.41</v>
      </c>
      <c r="D91" s="1">
        <f t="shared" ref="D91:D114" si="9">(C91-B91)/B91</f>
        <v>4.9893086243762612E-3</v>
      </c>
      <c r="E91" s="4">
        <v>1.41</v>
      </c>
      <c r="F91" s="1">
        <f t="shared" ref="F91:F114" si="10">(E91-B91)/B91</f>
        <v>4.9893086243762612E-3</v>
      </c>
      <c r="G91" s="4">
        <v>1.4</v>
      </c>
      <c r="H91" s="1">
        <f t="shared" ref="H91:H114" si="11">(G91-B91)/B91</f>
        <v>-2.1382751247327968E-3</v>
      </c>
    </row>
    <row r="92" spans="1:10" x14ac:dyDescent="0.25">
      <c r="A92" t="s">
        <v>63</v>
      </c>
      <c r="B92" s="4">
        <v>1.298</v>
      </c>
      <c r="C92" s="4">
        <v>1.3</v>
      </c>
      <c r="D92" s="1">
        <f t="shared" si="9"/>
        <v>1.5408320493066269E-3</v>
      </c>
      <c r="E92" s="4">
        <v>1.3</v>
      </c>
      <c r="F92" s="1">
        <f t="shared" si="10"/>
        <v>1.5408320493066269E-3</v>
      </c>
      <c r="G92" s="4">
        <v>1.29</v>
      </c>
      <c r="H92" s="1">
        <f t="shared" si="11"/>
        <v>-6.1633281972265077E-3</v>
      </c>
    </row>
    <row r="93" spans="1:10" x14ac:dyDescent="0.25">
      <c r="A93" t="s">
        <v>64</v>
      </c>
      <c r="B93" s="4">
        <v>1.292</v>
      </c>
      <c r="C93" s="4">
        <v>1.2</v>
      </c>
      <c r="D93" s="1">
        <f t="shared" si="9"/>
        <v>-7.1207430340557334E-2</v>
      </c>
      <c r="E93" s="4">
        <v>1.2</v>
      </c>
      <c r="F93" s="1">
        <f t="shared" si="10"/>
        <v>-7.1207430340557334E-2</v>
      </c>
      <c r="G93" s="4">
        <v>1.18</v>
      </c>
      <c r="H93" s="1">
        <f t="shared" si="11"/>
        <v>-8.6687306501548059E-2</v>
      </c>
    </row>
    <row r="94" spans="1:10" x14ac:dyDescent="0.25">
      <c r="A94" t="s">
        <v>65</v>
      </c>
      <c r="B94" s="4">
        <v>2.5009999999999999</v>
      </c>
      <c r="C94" s="4">
        <v>2.5</v>
      </c>
      <c r="D94" s="1">
        <f t="shared" si="9"/>
        <v>-3.9984006397436622E-4</v>
      </c>
      <c r="E94" s="4">
        <v>2.5</v>
      </c>
      <c r="F94" s="1">
        <f t="shared" si="10"/>
        <v>-3.9984006397436622E-4</v>
      </c>
      <c r="G94" s="4">
        <v>2.4700000000000002</v>
      </c>
      <c r="H94" s="1">
        <f t="shared" si="11"/>
        <v>-1.2395041983206595E-2</v>
      </c>
    </row>
    <row r="95" spans="1:10" x14ac:dyDescent="0.25">
      <c r="A95" t="s">
        <v>66</v>
      </c>
      <c r="B95" s="4">
        <v>0.20799999999999999</v>
      </c>
      <c r="C95" s="4">
        <v>0.20899999999999999</v>
      </c>
      <c r="D95" s="1">
        <f t="shared" si="9"/>
        <v>4.8076923076923123E-3</v>
      </c>
      <c r="E95" s="4">
        <v>0.20899999999999999</v>
      </c>
      <c r="F95" s="1">
        <f t="shared" si="10"/>
        <v>4.8076923076923123E-3</v>
      </c>
      <c r="G95" s="4">
        <v>0.21</v>
      </c>
      <c r="H95" s="1">
        <f t="shared" si="11"/>
        <v>9.6153846153846246E-3</v>
      </c>
    </row>
    <row r="96" spans="1:10" x14ac:dyDescent="0.25">
      <c r="A96" t="s">
        <v>67</v>
      </c>
      <c r="B96" s="4">
        <v>0.129</v>
      </c>
      <c r="C96" s="4">
        <v>0.13100000000000001</v>
      </c>
      <c r="D96" s="1">
        <f t="shared" si="9"/>
        <v>1.5503875968992262E-2</v>
      </c>
      <c r="E96" s="4">
        <v>0.13100000000000001</v>
      </c>
      <c r="F96" s="1">
        <f t="shared" si="10"/>
        <v>1.5503875968992262E-2</v>
      </c>
      <c r="G96" s="4">
        <v>0.13</v>
      </c>
      <c r="H96" s="1">
        <f t="shared" si="11"/>
        <v>7.7519379844961309E-3</v>
      </c>
    </row>
    <row r="97" spans="1:8" x14ac:dyDescent="0.25">
      <c r="A97" t="s">
        <v>68</v>
      </c>
      <c r="B97" s="4">
        <v>7.6999999999999999E-2</v>
      </c>
      <c r="C97" s="4">
        <v>7.6999999999999999E-2</v>
      </c>
      <c r="D97" s="1">
        <f t="shared" si="9"/>
        <v>0</v>
      </c>
      <c r="E97" s="4">
        <v>7.6999999999999999E-2</v>
      </c>
      <c r="F97" s="1">
        <f t="shared" si="10"/>
        <v>0</v>
      </c>
      <c r="G97" s="4">
        <v>7.6999999999999999E-2</v>
      </c>
      <c r="H97" s="1">
        <f t="shared" si="11"/>
        <v>0</v>
      </c>
    </row>
    <row r="98" spans="1:8" x14ac:dyDescent="0.25">
      <c r="A98" t="s">
        <v>69</v>
      </c>
      <c r="B98" s="4">
        <v>0.123</v>
      </c>
      <c r="C98" s="4">
        <v>0.126</v>
      </c>
      <c r="D98" s="1">
        <f t="shared" si="9"/>
        <v>2.4390243902439046E-2</v>
      </c>
      <c r="E98" s="4">
        <v>0.126</v>
      </c>
      <c r="F98" s="1">
        <f t="shared" si="10"/>
        <v>2.4390243902439046E-2</v>
      </c>
      <c r="G98" s="4">
        <v>0.12</v>
      </c>
      <c r="H98" s="1">
        <f t="shared" si="11"/>
        <v>-2.4390243902439046E-2</v>
      </c>
    </row>
    <row r="99" spans="1:8" x14ac:dyDescent="0.25">
      <c r="A99" t="s">
        <v>70</v>
      </c>
      <c r="B99" s="4">
        <v>4.0000000000000001E-3</v>
      </c>
      <c r="C99" s="4">
        <v>4.0000000000000001E-3</v>
      </c>
      <c r="D99" s="1">
        <f t="shared" si="9"/>
        <v>0</v>
      </c>
      <c r="E99" s="4">
        <v>4.0000000000000001E-3</v>
      </c>
      <c r="F99" s="1">
        <f t="shared" si="10"/>
        <v>0</v>
      </c>
      <c r="G99" s="4">
        <v>4.0000000000000001E-3</v>
      </c>
      <c r="H99" s="1">
        <f t="shared" si="11"/>
        <v>0</v>
      </c>
    </row>
    <row r="100" spans="1:8" x14ac:dyDescent="0.25">
      <c r="A100" t="s">
        <v>71</v>
      </c>
      <c r="B100" s="4">
        <v>0.57899999999999996</v>
      </c>
      <c r="C100" s="4">
        <v>0.58199999999999996</v>
      </c>
      <c r="D100" s="1">
        <f t="shared" si="9"/>
        <v>5.1813471502590728E-3</v>
      </c>
      <c r="E100" s="4">
        <v>0.58199999999999996</v>
      </c>
      <c r="F100" s="1">
        <f t="shared" si="10"/>
        <v>5.1813471502590728E-3</v>
      </c>
      <c r="G100" s="4">
        <v>0.56999999999999995</v>
      </c>
      <c r="H100" s="1">
        <f t="shared" si="11"/>
        <v>-1.5544041450777217E-2</v>
      </c>
    </row>
    <row r="101" spans="1:8" x14ac:dyDescent="0.25">
      <c r="A101" t="s">
        <v>72</v>
      </c>
      <c r="B101" s="4">
        <v>6.0999999999999999E-2</v>
      </c>
      <c r="C101" s="4">
        <v>6.2E-2</v>
      </c>
      <c r="D101" s="1">
        <f t="shared" si="9"/>
        <v>1.6393442622950834E-2</v>
      </c>
      <c r="E101" s="4">
        <v>6.2E-2</v>
      </c>
      <c r="F101" s="1">
        <f t="shared" si="10"/>
        <v>1.6393442622950834E-2</v>
      </c>
      <c r="G101" s="4">
        <v>0.06</v>
      </c>
      <c r="H101" s="1">
        <f t="shared" si="11"/>
        <v>-1.6393442622950834E-2</v>
      </c>
    </row>
    <row r="102" spans="1:8" x14ac:dyDescent="0.25">
      <c r="A102" t="s">
        <v>73</v>
      </c>
      <c r="B102" s="4">
        <v>0.51100000000000001</v>
      </c>
      <c r="C102" s="4">
        <v>0.51900000000000002</v>
      </c>
      <c r="D102" s="1">
        <f t="shared" si="9"/>
        <v>1.5655577299412929E-2</v>
      </c>
      <c r="E102" s="4">
        <v>0.51900000000000002</v>
      </c>
      <c r="F102" s="1">
        <f t="shared" si="10"/>
        <v>1.5655577299412929E-2</v>
      </c>
      <c r="G102" s="4">
        <v>0.5</v>
      </c>
      <c r="H102" s="1">
        <f t="shared" si="11"/>
        <v>-2.1526418786692779E-2</v>
      </c>
    </row>
    <row r="103" spans="1:8" x14ac:dyDescent="0.25">
      <c r="A103" t="s">
        <v>74</v>
      </c>
      <c r="B103" s="4">
        <v>1.7999999999999999E-2</v>
      </c>
      <c r="C103" s="4">
        <v>1.7999999999999999E-2</v>
      </c>
      <c r="D103" s="1">
        <f t="shared" si="9"/>
        <v>0</v>
      </c>
      <c r="E103" s="4">
        <v>1.7999999999999999E-2</v>
      </c>
      <c r="F103" s="1">
        <f t="shared" si="10"/>
        <v>0</v>
      </c>
      <c r="G103" s="4">
        <v>1.7999999999999999E-2</v>
      </c>
      <c r="H103" s="1">
        <f t="shared" si="11"/>
        <v>0</v>
      </c>
    </row>
    <row r="104" spans="1:8" x14ac:dyDescent="0.25">
      <c r="A104" t="s">
        <v>75</v>
      </c>
      <c r="B104" s="4">
        <v>5.0000000000000001E-3</v>
      </c>
      <c r="C104" s="4">
        <v>5.0000000000000001E-3</v>
      </c>
      <c r="D104" s="1">
        <f t="shared" si="9"/>
        <v>0</v>
      </c>
      <c r="E104" s="4">
        <v>5.0000000000000001E-3</v>
      </c>
      <c r="F104" s="1">
        <f t="shared" si="10"/>
        <v>0</v>
      </c>
      <c r="G104" s="4">
        <v>5.0000000000000001E-3</v>
      </c>
      <c r="H104" s="1">
        <f t="shared" si="11"/>
        <v>0</v>
      </c>
    </row>
    <row r="105" spans="1:8" x14ac:dyDescent="0.25">
      <c r="A105" t="s">
        <v>76</v>
      </c>
      <c r="B105" s="4">
        <v>1.0999999999999999E-2</v>
      </c>
      <c r="C105" s="4">
        <v>1.2E-2</v>
      </c>
      <c r="D105" s="1">
        <f t="shared" si="9"/>
        <v>9.0909090909090995E-2</v>
      </c>
      <c r="E105" s="4">
        <v>1.2E-2</v>
      </c>
      <c r="F105" s="1">
        <f t="shared" si="10"/>
        <v>9.0909090909090995E-2</v>
      </c>
      <c r="G105" s="4">
        <v>1.0999999999999999E-2</v>
      </c>
      <c r="H105" s="1">
        <f t="shared" si="11"/>
        <v>0</v>
      </c>
    </row>
    <row r="106" spans="1:8" x14ac:dyDescent="0.25">
      <c r="A106" t="s">
        <v>77</v>
      </c>
      <c r="B106" s="4">
        <v>0.55900000000000005</v>
      </c>
      <c r="C106" s="4">
        <v>0.56299999999999994</v>
      </c>
      <c r="D106" s="1">
        <f t="shared" si="9"/>
        <v>7.1556350626116143E-3</v>
      </c>
      <c r="E106" s="4">
        <v>0.56299999999999994</v>
      </c>
      <c r="F106" s="1">
        <f t="shared" si="10"/>
        <v>7.1556350626116143E-3</v>
      </c>
      <c r="G106" s="4">
        <v>0.55900000000000005</v>
      </c>
      <c r="H106" s="1">
        <f t="shared" si="11"/>
        <v>0</v>
      </c>
    </row>
    <row r="107" spans="1:8" x14ac:dyDescent="0.25">
      <c r="A107" t="s">
        <v>78</v>
      </c>
      <c r="B107" s="4">
        <v>0.159</v>
      </c>
      <c r="C107" s="4">
        <v>0.159</v>
      </c>
      <c r="D107" s="1">
        <f t="shared" si="9"/>
        <v>0</v>
      </c>
      <c r="E107" s="4">
        <v>0.159</v>
      </c>
      <c r="F107" s="1">
        <f t="shared" si="10"/>
        <v>0</v>
      </c>
      <c r="G107" s="4">
        <v>0.153</v>
      </c>
      <c r="H107" s="1">
        <f t="shared" si="11"/>
        <v>-3.7735849056603807E-2</v>
      </c>
    </row>
    <row r="108" spans="1:8" x14ac:dyDescent="0.25">
      <c r="A108" t="s">
        <v>79</v>
      </c>
      <c r="B108" s="4">
        <v>1.59</v>
      </c>
      <c r="C108" s="4">
        <v>1.59</v>
      </c>
      <c r="D108" s="1">
        <f t="shared" si="9"/>
        <v>0</v>
      </c>
      <c r="E108" s="4">
        <v>1.59</v>
      </c>
      <c r="F108" s="1">
        <f t="shared" si="10"/>
        <v>0</v>
      </c>
      <c r="G108" s="4">
        <v>1.59</v>
      </c>
      <c r="H108" s="1">
        <f t="shared" si="11"/>
        <v>0</v>
      </c>
    </row>
    <row r="109" spans="1:8" x14ac:dyDescent="0.25">
      <c r="A109" t="s">
        <v>80</v>
      </c>
      <c r="B109" s="4">
        <v>0.29099999999999998</v>
      </c>
      <c r="C109" s="4">
        <v>0.29199999999999998</v>
      </c>
      <c r="D109" s="1">
        <f t="shared" si="9"/>
        <v>3.4364261168384914E-3</v>
      </c>
      <c r="E109" s="4">
        <v>0.28999999999999998</v>
      </c>
      <c r="F109" s="1">
        <f t="shared" si="10"/>
        <v>-3.4364261168384914E-3</v>
      </c>
      <c r="G109" s="4">
        <v>0.28000000000000003</v>
      </c>
      <c r="H109" s="1">
        <f t="shared" si="11"/>
        <v>-3.7800687285223213E-2</v>
      </c>
    </row>
    <row r="110" spans="1:8" x14ac:dyDescent="0.25">
      <c r="A110" t="s">
        <v>81</v>
      </c>
      <c r="B110" s="4">
        <v>2.0430000000000001</v>
      </c>
      <c r="C110" s="4">
        <v>2.0499999999999998</v>
      </c>
      <c r="D110" s="1">
        <f t="shared" si="9"/>
        <v>3.4263338228094336E-3</v>
      </c>
      <c r="E110" s="4">
        <v>2.0499999999999998</v>
      </c>
      <c r="F110" s="1">
        <f t="shared" si="10"/>
        <v>3.4263338228094336E-3</v>
      </c>
      <c r="G110" s="4">
        <v>2.04</v>
      </c>
      <c r="H110" s="1">
        <f t="shared" si="11"/>
        <v>-1.4684287812041672E-3</v>
      </c>
    </row>
    <row r="111" spans="1:8" x14ac:dyDescent="0.25">
      <c r="A111" t="s">
        <v>82</v>
      </c>
      <c r="B111" s="4">
        <v>0.66400000000000003</v>
      </c>
      <c r="C111" s="4">
        <v>0.66500000000000004</v>
      </c>
      <c r="D111" s="1">
        <f t="shared" si="9"/>
        <v>1.5060240963855433E-3</v>
      </c>
      <c r="E111" s="4">
        <v>0.66500000000000004</v>
      </c>
      <c r="F111" s="1">
        <f t="shared" si="10"/>
        <v>1.5060240963855433E-3</v>
      </c>
      <c r="G111" s="4">
        <v>0.65</v>
      </c>
      <c r="H111" s="1">
        <f t="shared" si="11"/>
        <v>-2.108433734939761E-2</v>
      </c>
    </row>
    <row r="112" spans="1:8" x14ac:dyDescent="0.25">
      <c r="A112" t="s">
        <v>83</v>
      </c>
      <c r="B112" s="4">
        <v>1.46</v>
      </c>
      <c r="C112" s="4">
        <v>1.46</v>
      </c>
      <c r="D112" s="1">
        <f t="shared" si="9"/>
        <v>0</v>
      </c>
      <c r="E112" s="4">
        <v>1.46</v>
      </c>
      <c r="F112" s="1">
        <f t="shared" si="10"/>
        <v>0</v>
      </c>
      <c r="G112" s="4">
        <v>1.46</v>
      </c>
      <c r="H112" s="1">
        <f t="shared" si="11"/>
        <v>0</v>
      </c>
    </row>
    <row r="113" spans="1:8" x14ac:dyDescent="0.25">
      <c r="A113" t="s">
        <v>84</v>
      </c>
      <c r="B113" s="4">
        <v>2.5259999999999998</v>
      </c>
      <c r="C113" s="4">
        <v>2.54</v>
      </c>
      <c r="D113" s="1">
        <f t="shared" si="9"/>
        <v>5.5423594615994602E-3</v>
      </c>
      <c r="E113" s="4">
        <v>2.54</v>
      </c>
      <c r="F113" s="1">
        <f t="shared" si="10"/>
        <v>5.5423594615994602E-3</v>
      </c>
      <c r="G113" s="4">
        <v>2.5099999999999998</v>
      </c>
      <c r="H113" s="1">
        <f t="shared" si="11"/>
        <v>-6.3341250989707104E-3</v>
      </c>
    </row>
    <row r="114" spans="1:8" x14ac:dyDescent="0.25">
      <c r="A114" t="s">
        <v>85</v>
      </c>
      <c r="B114" s="4">
        <v>0.17199999999999999</v>
      </c>
      <c r="C114" s="4">
        <v>0.17299999999999999</v>
      </c>
      <c r="D114" s="1">
        <f t="shared" si="9"/>
        <v>5.813953488372099E-3</v>
      </c>
      <c r="E114" s="4">
        <v>0.17299999999999999</v>
      </c>
      <c r="F114" s="1">
        <f t="shared" si="10"/>
        <v>5.813953488372099E-3</v>
      </c>
      <c r="G114" s="4">
        <v>0.17</v>
      </c>
      <c r="H114" s="1">
        <f t="shared" si="11"/>
        <v>-1.1627906976744037E-2</v>
      </c>
    </row>
  </sheetData>
  <phoneticPr fontId="1" type="noConversion"/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C599E-7B5A-4FE4-BF29-E5FC002A54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AMBROSIO BALTAZAR</dc:creator>
  <cp:lastModifiedBy>JOSE AMBROSIO BALTAZAR</cp:lastModifiedBy>
  <cp:lastPrinted>2026-03-19T04:16:11Z</cp:lastPrinted>
  <dcterms:created xsi:type="dcterms:W3CDTF">2026-03-10T05:43:57Z</dcterms:created>
  <dcterms:modified xsi:type="dcterms:W3CDTF">2026-03-19T06:32:36Z</dcterms:modified>
</cp:coreProperties>
</file>