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ESTRUCTURA PROGRAMATICA 2026 - REPROGRAMACIÓN\"/>
    </mc:Choice>
  </mc:AlternateContent>
  <xr:revisionPtr revIDLastSave="0" documentId="13_ncr:1_{0458C9DB-17F4-48F1-A38B-04F1027D4212}" xr6:coauthVersionLast="47" xr6:coauthVersionMax="47" xr10:uidLastSave="{00000000-0000-0000-0000-000000000000}"/>
  <bookViews>
    <workbookView xWindow="-120" yWindow="-120" windowWidth="29040" windowHeight="15720" activeTab="1" xr2:uid="{D85518CE-FBB4-41EF-A1D4-E6E8DC7BA2EB}"/>
  </bookViews>
  <sheets>
    <sheet name="RESUMEN PROG-SUBP VF FORTAMUN" sheetId="1" r:id="rId1"/>
    <sheet name="EPP FORTAMUN 26" sheetId="2" r:id="rId2"/>
  </sheets>
  <externalReferences>
    <externalReference r:id="rId3"/>
    <externalReference r:id="rId4"/>
  </externalReferences>
  <definedNames>
    <definedName name="_A65600">#REF!</definedName>
    <definedName name="_A66000">#REF!</definedName>
    <definedName name="_A67000">#REF!</definedName>
    <definedName name="_xlnm._FilterDatabase" localSheetId="1" hidden="1">'EPP FORTAMUN 26'!$A$9:$BG$589</definedName>
    <definedName name="_xlnm._FilterDatabase">#REF!</definedName>
    <definedName name="a">#REF!</definedName>
    <definedName name="aaff">#REF!</definedName>
    <definedName name="aff">#REF!</definedName>
    <definedName name="afff">#REF!</definedName>
    <definedName name="AGOSTO">#REF!</definedName>
    <definedName name="AGOSTO1">#REF!</definedName>
    <definedName name="Aguascalientes">#REF!</definedName>
    <definedName name="_xlnm.Print_Area" localSheetId="1">'EPP FORTAMUN 26'!$A$1:$P$595</definedName>
    <definedName name="_xlnm.Print_Area" localSheetId="0">'RESUMEN PROG-SUBP VF FORTAMUN'!$A$1:$I$43</definedName>
    <definedName name="_xlnm.Database">#REF!</definedName>
    <definedName name="BC">#REF!</definedName>
    <definedName name="BCS">#REF!</definedName>
    <definedName name="Campeche">#REF!</definedName>
    <definedName name="Categorías_de_gastos">#REF!</definedName>
    <definedName name="CDMX">#REF!</definedName>
    <definedName name="ceroo">#REF!</definedName>
    <definedName name="Chiapas">#REF!</definedName>
    <definedName name="Chihuahua">#REF!</definedName>
    <definedName name="CK">#REF!</definedName>
    <definedName name="Coahuila">#REF!</definedName>
    <definedName name="Colima">#REF!</definedName>
    <definedName name="ControlConfianza">#REF!</definedName>
    <definedName name="Database">#REF!</definedName>
    <definedName name="datosum">'[1]2015 ESTRUCTURA'!$N$56:$N$3552</definedName>
    <definedName name="Durango">#REF!</definedName>
    <definedName name="e">#REF!</definedName>
    <definedName name="Edos">#REF!</definedName>
    <definedName name="EducationLevel">#REF!</definedName>
    <definedName name="EnglishAbility">#REF!</definedName>
    <definedName name="Est">#REF!</definedName>
    <definedName name="Estado">#REF!</definedName>
    <definedName name="Estados">#REF!</definedName>
    <definedName name="FEB">#REF!</definedName>
    <definedName name="FF">#REF!</definedName>
    <definedName name="FFFF">#REF!</definedName>
    <definedName name="Gender">#REF!</definedName>
    <definedName name="Genero">#REF!</definedName>
    <definedName name="Guanajuato">#REF!</definedName>
    <definedName name="Guerrero">#REF!</definedName>
    <definedName name="Hidalgo">#REF!</definedName>
    <definedName name="Jalisco">#REF!</definedName>
    <definedName name="MAYO">#REF!</definedName>
    <definedName name="México">#REF!</definedName>
    <definedName name="Michoacán">#REF!</definedName>
    <definedName name="MiColumna">'[2]24 San Luis Potosi'!#REF!</definedName>
    <definedName name="MiFila">'[2]24 San Luis Potosi'!#REF!</definedName>
    <definedName name="Morelos">#REF!</definedName>
    <definedName name="Nayarit">#REF!</definedName>
    <definedName name="NL">#REF!</definedName>
    <definedName name="Oaxaca">#REF!</definedName>
    <definedName name="ParticipantAlternate">#REF!</definedName>
    <definedName name="PERIODO">#REF!</definedName>
    <definedName name="POLICÍA_PREVENTIVO_ESTATAL">#REF!</definedName>
    <definedName name="PP">#REF!</definedName>
    <definedName name="Puebla">#REF!</definedName>
    <definedName name="Qroo">#REF!</definedName>
    <definedName name="Querétaro">#REF!</definedName>
    <definedName name="Reintegra">#REF!</definedName>
    <definedName name="Reintegros">'[2]24 San Luis Potosi'!#REF!</definedName>
    <definedName name="Reintegros3">#REF!</definedName>
    <definedName name="saldocero15">#REF!</definedName>
    <definedName name="SALDOCERO2015">#REF!</definedName>
    <definedName name="Sinaloa">#REF!</definedName>
    <definedName name="SLP">#REF!</definedName>
    <definedName name="Sonora">#REF!</definedName>
    <definedName name="Tabasco">#REF!</definedName>
    <definedName name="Tamaulipas">#REF!</definedName>
    <definedName name="Tlaxcala">#REF!</definedName>
    <definedName name="UnitCommander">#REF!</definedName>
    <definedName name="Veracruz">#REF!</definedName>
    <definedName name="VettingType">#REF!</definedName>
    <definedName name="xxx">'[2]24 San Luis Potosi'!#REF!</definedName>
    <definedName name="YearsInPosition">#REF!</definedName>
    <definedName name="Yucatán">#REF!</definedName>
    <definedName name="Zacateca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2" l="1"/>
  <c r="M459" i="2"/>
  <c r="B29" i="1" l="1"/>
  <c r="H28" i="1"/>
  <c r="H29" i="1"/>
  <c r="M588" i="2"/>
  <c r="M587" i="2" s="1"/>
  <c r="M586" i="2" s="1"/>
  <c r="M585" i="2" s="1"/>
  <c r="I29" i="1" s="1"/>
  <c r="H24" i="1"/>
  <c r="H25" i="1"/>
  <c r="H26" i="1"/>
  <c r="H27" i="1"/>
  <c r="H20" i="1"/>
  <c r="H21" i="1"/>
  <c r="H22" i="1"/>
  <c r="H23" i="1"/>
  <c r="H15" i="1"/>
  <c r="H16" i="1"/>
  <c r="H17" i="1"/>
  <c r="H18" i="1"/>
  <c r="H19" i="1"/>
  <c r="H11" i="1"/>
  <c r="H12" i="1"/>
  <c r="H13" i="1"/>
  <c r="H14" i="1"/>
  <c r="H10" i="1"/>
  <c r="M584" i="2" l="1"/>
  <c r="I28" i="1" s="1"/>
  <c r="M547" i="2" l="1"/>
  <c r="M546" i="2" s="1"/>
  <c r="M545" i="2" s="1"/>
  <c r="M582" i="2" l="1"/>
  <c r="M581" i="2" s="1"/>
  <c r="M579" i="2"/>
  <c r="M571" i="2"/>
  <c r="M568" i="2"/>
  <c r="M567" i="2" s="1"/>
  <c r="M558" i="2"/>
  <c r="M555" i="2"/>
  <c r="M551" i="2"/>
  <c r="M550" i="2" s="1"/>
  <c r="M549" i="2" s="1"/>
  <c r="M542" i="2"/>
  <c r="M539" i="2"/>
  <c r="M531" i="2"/>
  <c r="M530" i="2" s="1"/>
  <c r="M529" i="2" s="1"/>
  <c r="M528" i="2" s="1"/>
  <c r="I23" i="1" s="1"/>
  <c r="M526" i="2"/>
  <c r="M524" i="2"/>
  <c r="M521" i="2"/>
  <c r="M520" i="2" s="1"/>
  <c r="M517" i="2"/>
  <c r="M516" i="2" s="1"/>
  <c r="M508" i="2"/>
  <c r="M507" i="2" s="1"/>
  <c r="M503" i="2"/>
  <c r="M502" i="2" s="1"/>
  <c r="M487" i="2"/>
  <c r="M484" i="2"/>
  <c r="M466" i="2"/>
  <c r="M462" i="2"/>
  <c r="M461" i="2" s="1"/>
  <c r="M457" i="2"/>
  <c r="M456" i="2" s="1"/>
  <c r="M454" i="2"/>
  <c r="M453" i="2" s="1"/>
  <c r="M451" i="2"/>
  <c r="M449" i="2"/>
  <c r="M444" i="2"/>
  <c r="M442" i="2"/>
  <c r="M439" i="2"/>
  <c r="M437" i="2"/>
  <c r="M402" i="2"/>
  <c r="M394" i="2"/>
  <c r="M390" i="2"/>
  <c r="M387" i="2"/>
  <c r="M349" i="2"/>
  <c r="M346" i="2"/>
  <c r="M345" i="2" s="1"/>
  <c r="M343" i="2"/>
  <c r="M340" i="2"/>
  <c r="M337" i="2"/>
  <c r="M335" i="2"/>
  <c r="M332" i="2"/>
  <c r="M330" i="2"/>
  <c r="M323" i="2"/>
  <c r="M319" i="2"/>
  <c r="M318" i="2" s="1"/>
  <c r="M317" i="2" s="1"/>
  <c r="M314" i="2"/>
  <c r="M311" i="2"/>
  <c r="M308" i="2"/>
  <c r="M307" i="2" s="1"/>
  <c r="M303" i="2"/>
  <c r="M302" i="2" s="1"/>
  <c r="M301" i="2" s="1"/>
  <c r="M300" i="2" s="1"/>
  <c r="M298" i="2"/>
  <c r="M297" i="2" s="1"/>
  <c r="M296" i="2" s="1"/>
  <c r="M295" i="2" s="1"/>
  <c r="I16" i="1" s="1"/>
  <c r="M291" i="2"/>
  <c r="M290" i="2" s="1"/>
  <c r="M289" i="2" s="1"/>
  <c r="M288" i="2" s="1"/>
  <c r="I14" i="1" s="1"/>
  <c r="M286" i="2"/>
  <c r="M284" i="2"/>
  <c r="M278" i="2"/>
  <c r="M277" i="2" s="1"/>
  <c r="M260" i="2"/>
  <c r="M259" i="2" s="1"/>
  <c r="M253" i="2"/>
  <c r="M252" i="2" s="1"/>
  <c r="M247" i="2"/>
  <c r="M208" i="2"/>
  <c r="M199" i="2"/>
  <c r="M186" i="2"/>
  <c r="M170" i="2"/>
  <c r="M147" i="2"/>
  <c r="M143" i="2"/>
  <c r="M142" i="2" s="1"/>
  <c r="M140" i="2"/>
  <c r="M139" i="2" s="1"/>
  <c r="M137" i="2"/>
  <c r="M135" i="2"/>
  <c r="M130" i="2"/>
  <c r="M128" i="2"/>
  <c r="M85" i="2"/>
  <c r="M78" i="2"/>
  <c r="M69" i="2"/>
  <c r="M67" i="2"/>
  <c r="M41" i="2"/>
  <c r="M38" i="2"/>
  <c r="M37" i="2" s="1"/>
  <c r="M35" i="2"/>
  <c r="M33" i="2"/>
  <c r="M31" i="2"/>
  <c r="M29" i="2"/>
  <c r="M27" i="2"/>
  <c r="M21" i="2"/>
  <c r="M19" i="2"/>
  <c r="M322" i="2" l="1"/>
  <c r="M321" i="2"/>
  <c r="M310" i="2"/>
  <c r="M306" i="2" s="1"/>
  <c r="M305" i="2" s="1"/>
  <c r="M134" i="2"/>
  <c r="M133" i="2" s="1"/>
  <c r="M146" i="2"/>
  <c r="M40" i="2"/>
  <c r="M283" i="2"/>
  <c r="M339" i="2"/>
  <c r="M538" i="2"/>
  <c r="M14" i="2"/>
  <c r="M13" i="2" s="1"/>
  <c r="M12" i="2" s="1"/>
  <c r="I12" i="1" s="1"/>
  <c r="M348" i="2"/>
  <c r="M554" i="2"/>
  <c r="M523" i="2"/>
  <c r="I17" i="1"/>
  <c r="M316" i="2"/>
  <c r="I19" i="1" s="1"/>
  <c r="M465" i="2"/>
  <c r="M393" i="2"/>
  <c r="M570" i="2"/>
  <c r="M334" i="2"/>
  <c r="M198" i="2"/>
  <c r="M448" i="2"/>
  <c r="M447" i="2" s="1"/>
  <c r="M26" i="2"/>
  <c r="M329" i="2"/>
  <c r="M77" i="2"/>
  <c r="M436" i="2"/>
  <c r="M553" i="2" l="1"/>
  <c r="M544" i="2" s="1"/>
  <c r="I27" i="1" s="1"/>
  <c r="M537" i="2"/>
  <c r="M536" i="2" s="1"/>
  <c r="I26" i="1" s="1"/>
  <c r="M145" i="2"/>
  <c r="M25" i="2"/>
  <c r="M464" i="2"/>
  <c r="I18" i="1"/>
  <c r="M328" i="2"/>
  <c r="M535" i="2" l="1"/>
  <c r="M327" i="2"/>
  <c r="M24" i="2"/>
  <c r="I13" i="1" s="1"/>
  <c r="M294" i="2"/>
  <c r="I15" i="1" s="1"/>
  <c r="M326" i="2"/>
  <c r="M325" i="2" s="1"/>
  <c r="I20" i="1" s="1"/>
  <c r="I22" i="1"/>
  <c r="M11" i="2" l="1"/>
  <c r="M10" i="2" s="1"/>
  <c r="I10" i="1" s="1"/>
  <c r="I25" i="1"/>
  <c r="M534" i="2"/>
  <c r="I24" i="1" s="1"/>
  <c r="I21" i="1"/>
  <c r="I11" i="1" l="1"/>
  <c r="I9" i="1"/>
  <c r="M9" i="2"/>
</calcChain>
</file>

<file path=xl/sharedStrings.xml><?xml version="1.0" encoding="utf-8"?>
<sst xmlns="http://schemas.openxmlformats.org/spreadsheetml/2006/main" count="1041" uniqueCount="546">
  <si>
    <t>FONDO DE APORTACIONES PARA EL FORTALECIMIENTO DE LOS MUNICIPIOS Y DE LAS DEMARCACIONES TERRITORIALES DEL DISTRITO FEDERAL</t>
  </si>
  <si>
    <t>ESTRUCTURA PROGRAMÁTICA PRESUPUESTAL FORTAMUN 2026</t>
  </si>
  <si>
    <t>(RESUMEN)</t>
  </si>
  <si>
    <t>AÑO</t>
  </si>
  <si>
    <t>ENTIDAD</t>
  </si>
  <si>
    <t>MUNICIPIO</t>
  </si>
  <si>
    <t>EJE</t>
  </si>
  <si>
    <t>PROGRAMA</t>
  </si>
  <si>
    <t>SUBPROGRAMA</t>
  </si>
  <si>
    <t>PROGRAMAS CON PRIORIDAD NACIONAL 
Y SUBPROGRAMAS</t>
  </si>
  <si>
    <t>ORIGEN DE LOS RECURSOS</t>
  </si>
  <si>
    <t>APORTACIONES FEDERALES
 (FORTAMUN)</t>
  </si>
  <si>
    <t>TOTAL</t>
  </si>
  <si>
    <t xml:space="preserve"> </t>
  </si>
  <si>
    <t>CAPÍTULO</t>
  </si>
  <si>
    <t>CONCEPTO</t>
  </si>
  <si>
    <t>PARTIDA
GENÉRICA</t>
  </si>
  <si>
    <t>BIEN</t>
  </si>
  <si>
    <t>UNIDAD
DE MEDIDA</t>
  </si>
  <si>
    <t>CANTIDAD</t>
  </si>
  <si>
    <t>PERSONA /
CANTIDAD 2</t>
  </si>
  <si>
    <t>Desarrollo de las y los integrantes de las Instituciones de Seguridad Pública</t>
  </si>
  <si>
    <t>Fortalecimiento de las Instancias de Profesionalización y Formación de las y los integrantes de las Instituciones de Seguridad Pública</t>
  </si>
  <si>
    <t>Programas de Formación Inicial y Continua conforme al Programa Rector</t>
  </si>
  <si>
    <t>Servicios Generales</t>
  </si>
  <si>
    <t>Servicios Profesionales, Científicos, Técnicos y Otros Servicios</t>
  </si>
  <si>
    <t>Servicios de capacitación</t>
  </si>
  <si>
    <t xml:space="preserve">Curso de capacitación para Policía Municipal_Formación Inicial (Aspirantes) </t>
  </si>
  <si>
    <t>Servicio</t>
  </si>
  <si>
    <t xml:space="preserve">Curso de capacitación para Policía Municipal_Formación Inicial (Activos) </t>
  </si>
  <si>
    <t>Curso de capacitación para Policía Municipal_Formación Continua</t>
  </si>
  <si>
    <t>Servicios de apoyo administrativo, traducción, fotocopiado e impresión</t>
  </si>
  <si>
    <t xml:space="preserve">Evaluación del desempeño para Policías Municipales </t>
  </si>
  <si>
    <t>Evaluación</t>
  </si>
  <si>
    <t>Servicios profesionales, científicos y técnicos integrales</t>
  </si>
  <si>
    <t>Subcontratación de servicios con terceros_Evaluación de Competencias Básicas de la Función para Policías Municipales</t>
  </si>
  <si>
    <t>Subcontratación de servicios con terceros_Evaluación de Aspirantes a Instructores Evaluadores de la Función Municipal</t>
  </si>
  <si>
    <t>Equipamiento de las Instancias de Profesionalización de las Instituciones Policiales</t>
  </si>
  <si>
    <t>Materiales y Suministros</t>
  </si>
  <si>
    <t>Materiales de Administración, Emisión de Documentos y Artículos Oficiales</t>
  </si>
  <si>
    <t>Materiales, útiles y equipos menores de oficina</t>
  </si>
  <si>
    <t>Materiales y útiles de oficina</t>
  </si>
  <si>
    <t>Pieza/Lote</t>
  </si>
  <si>
    <t>Materiales y útiles de impresión y reproducción</t>
  </si>
  <si>
    <t>Lote</t>
  </si>
  <si>
    <t>Materiales, útiles y equipos menores de tecnologías de la información y comunicaciones</t>
  </si>
  <si>
    <t>Materiales y útiles para el procesamiento en equipos y bienes informáticos</t>
  </si>
  <si>
    <t>Material de limpieza</t>
  </si>
  <si>
    <t>Materiales y útiles de enseñanza</t>
  </si>
  <si>
    <t>Materiales y suministros para planteles educativos</t>
  </si>
  <si>
    <t>Combustibles, lubricantes y aditivos</t>
  </si>
  <si>
    <t>Gasolina y diésel</t>
  </si>
  <si>
    <t>Litro</t>
  </si>
  <si>
    <t>Vestuario, Blancos, Prendas de Protección y Artículos Deportivos</t>
  </si>
  <si>
    <t>Vestuario y uniformes</t>
  </si>
  <si>
    <t>Boina</t>
  </si>
  <si>
    <t>Pieza</t>
  </si>
  <si>
    <t>Botas</t>
  </si>
  <si>
    <t>Par</t>
  </si>
  <si>
    <t>Camisa</t>
  </si>
  <si>
    <t>Camisola</t>
  </si>
  <si>
    <t>Chamarra</t>
  </si>
  <si>
    <t>Chanchomón</t>
  </si>
  <si>
    <t>Cinturón táctico</t>
  </si>
  <si>
    <t>Cuartelera</t>
  </si>
  <si>
    <t>Gorra tipo beisbolera</t>
  </si>
  <si>
    <t>Insignias y Divisas</t>
  </si>
  <si>
    <t>Kepi</t>
  </si>
  <si>
    <t>Pantalón</t>
  </si>
  <si>
    <t>Pants (completo)</t>
  </si>
  <si>
    <t>Juego/Pieza</t>
  </si>
  <si>
    <t>Pasa montañas</t>
  </si>
  <si>
    <t>Playera interior</t>
  </si>
  <si>
    <t>Porta cargador arma larga</t>
  </si>
  <si>
    <t>Porta cargador arma corta</t>
  </si>
  <si>
    <t>Porta bastón policial (especificar)</t>
  </si>
  <si>
    <t>Short</t>
  </si>
  <si>
    <t>Sombrero</t>
  </si>
  <si>
    <t>Sudadera</t>
  </si>
  <si>
    <t>Tenis</t>
  </si>
  <si>
    <t>Tocado</t>
  </si>
  <si>
    <t>Zapato</t>
  </si>
  <si>
    <t>Playera tipo polo</t>
  </si>
  <si>
    <t>Prendas de seguridad y protección personal</t>
  </si>
  <si>
    <t>Fornitura</t>
  </si>
  <si>
    <t>Artículos deportivos</t>
  </si>
  <si>
    <t>Conos</t>
  </si>
  <si>
    <t>Cronómetro</t>
  </si>
  <si>
    <t xml:space="preserve">Colchoneta de entrenamiento </t>
  </si>
  <si>
    <t>Cuerdas de entrenamiento</t>
  </si>
  <si>
    <t>Domi (cojín para golpeo)</t>
  </si>
  <si>
    <t xml:space="preserve">Postes de entrenamiento </t>
  </si>
  <si>
    <t>Palchagui (cojín para pateo)</t>
  </si>
  <si>
    <t>Materiales y Suministros para Seguridad</t>
  </si>
  <si>
    <t>Materiales de Seguridad Pública</t>
  </si>
  <si>
    <t>Bengalas</t>
  </si>
  <si>
    <t>Cartucho de entrenamiento arma corta</t>
  </si>
  <si>
    <t>Cartucho de entrenamiento arma larga</t>
  </si>
  <si>
    <t>Cartuchos para arma corta</t>
  </si>
  <si>
    <t>Millar</t>
  </si>
  <si>
    <t>Cartuchos para arma larga</t>
  </si>
  <si>
    <t>Estructura metálica para siluetas</t>
  </si>
  <si>
    <t>Prendas de protección para seguridad pública y nacional</t>
  </si>
  <si>
    <t>Bastón policial PR-24</t>
  </si>
  <si>
    <t>Candado de mano de nylon</t>
  </si>
  <si>
    <t>Candado de mano metálico (esposas)</t>
  </si>
  <si>
    <t>Careta para gotcha</t>
  </si>
  <si>
    <t>Casco (Especificar)</t>
  </si>
  <si>
    <t>Chaleco balístico mínimo nivel III-A, con dos placas balísticas nivel IV</t>
  </si>
  <si>
    <t>Chaleco táctico</t>
  </si>
  <si>
    <t>Chalecos Balísticos antipunta</t>
  </si>
  <si>
    <t>Cinturón</t>
  </si>
  <si>
    <t>Coderas (ciclista, motociclista y tácticas)</t>
  </si>
  <si>
    <t>Cuchillos de utilería</t>
  </si>
  <si>
    <t>Cuerdas de rescate</t>
  </si>
  <si>
    <t>Descensor de rescate</t>
  </si>
  <si>
    <t>Equipo antimotín</t>
  </si>
  <si>
    <t>Equipo de rappel</t>
  </si>
  <si>
    <t>Escudo antimotín</t>
  </si>
  <si>
    <t>Espejo táctico</t>
  </si>
  <si>
    <t>Espinillera</t>
  </si>
  <si>
    <t>Goggles</t>
  </si>
  <si>
    <t>Lámpara táctica</t>
  </si>
  <si>
    <t>Maletín táctico</t>
  </si>
  <si>
    <t>Máscara antigas</t>
  </si>
  <si>
    <t>Mochila táctica</t>
  </si>
  <si>
    <t>Mosquetón</t>
  </si>
  <si>
    <t>Ocho de rescate</t>
  </si>
  <si>
    <t>Peto</t>
  </si>
  <si>
    <t>Placa balística Nivel IV</t>
  </si>
  <si>
    <t>Protección de cuello</t>
  </si>
  <si>
    <t>Protección genitales femenino</t>
  </si>
  <si>
    <t>Protección genitales masculino</t>
  </si>
  <si>
    <t>Protección guantes</t>
  </si>
  <si>
    <t>Protección pecho femenino</t>
  </si>
  <si>
    <t>Protecciones visuales (especificar)</t>
  </si>
  <si>
    <t>Protectores auditivos (especificar)</t>
  </si>
  <si>
    <t>Rodilleras (ciclista, motociclista y tácticas)</t>
  </si>
  <si>
    <t>Silueta (Especificar)</t>
  </si>
  <si>
    <t>Tolete</t>
  </si>
  <si>
    <t>Tonfa</t>
  </si>
  <si>
    <t>Ascensor de rappel</t>
  </si>
  <si>
    <t>Polea para rappel</t>
  </si>
  <si>
    <t>Traje de entrenamiento (especificar)</t>
  </si>
  <si>
    <t>Arnés de rappel</t>
  </si>
  <si>
    <t>Refacciones y accesorios menores de equipo de cómputo y tecnologías de la información</t>
  </si>
  <si>
    <t>Refacciones y accesorios para equipo de cómputo</t>
  </si>
  <si>
    <t>Refacciones y accesorios menores de equipo de defensa y seguridad</t>
  </si>
  <si>
    <t xml:space="preserve">Kit de limpieza de armas </t>
  </si>
  <si>
    <t>Kit</t>
  </si>
  <si>
    <t>Contenedores para limpieza de armas</t>
  </si>
  <si>
    <t>Servicios Básicos</t>
  </si>
  <si>
    <t>Energía eléctrica</t>
  </si>
  <si>
    <t>Servicio de energía eléctrica</t>
  </si>
  <si>
    <t>Servicios de acceso de internet, redes y procesamiento de información</t>
  </si>
  <si>
    <t>Servicios de conducción de señales analógicas y digitales</t>
  </si>
  <si>
    <t>Servicios de Arrendamiento</t>
  </si>
  <si>
    <t>Arrendamiento de Mobiliario y Equipo de Administración, Educacional y Recreativo</t>
  </si>
  <si>
    <t>Servicios de Instalación, Reparación, Mantenimiento y Conservación</t>
  </si>
  <si>
    <t>Instalación, reparación y mantenimiento de maquinaria, otros equipos y herramienta</t>
  </si>
  <si>
    <t>Mantenimiento y conservación de maquinaria y equipo</t>
  </si>
  <si>
    <t>Bienes Muebles, Inmuebles e Intangibles</t>
  </si>
  <si>
    <t>Mobiliario y Equipo de Administración</t>
  </si>
  <si>
    <t>Muebles de oficina y estantería</t>
  </si>
  <si>
    <t>Anaquel</t>
  </si>
  <si>
    <t>Archivero</t>
  </si>
  <si>
    <t>Banco</t>
  </si>
  <si>
    <t>Butaca con paleta</t>
  </si>
  <si>
    <t>Credenza</t>
  </si>
  <si>
    <t>Escritorio</t>
  </si>
  <si>
    <t>Estante</t>
  </si>
  <si>
    <t>Gabinete</t>
  </si>
  <si>
    <t>Gaveta</t>
  </si>
  <si>
    <t>Librero</t>
  </si>
  <si>
    <t>Locker</t>
  </si>
  <si>
    <t>Mesa</t>
  </si>
  <si>
    <t>Módulo</t>
  </si>
  <si>
    <t>Mostrador para recepción</t>
  </si>
  <si>
    <t>Mueble para computadora</t>
  </si>
  <si>
    <t xml:space="preserve">Sala de espera   </t>
  </si>
  <si>
    <t>Sala de juntas</t>
  </si>
  <si>
    <t>Silla</t>
  </si>
  <si>
    <t>Sillón</t>
  </si>
  <si>
    <t>Mesa de trabajo</t>
  </si>
  <si>
    <t>Banca</t>
  </si>
  <si>
    <t>Estrado para sala de juicios</t>
  </si>
  <si>
    <t>Equipo de cómputo y de tecnologías de la información</t>
  </si>
  <si>
    <t>Access point</t>
  </si>
  <si>
    <t>Computadora de escritorio (Aulas de capacitación, laboratorios y sala de cómputo)</t>
  </si>
  <si>
    <t>Computadora portátil (Aulas de capacitación, laboratorios y sala de cómputo)</t>
  </si>
  <si>
    <t>Conmutador de datos (Switch)</t>
  </si>
  <si>
    <t>Conmutador telefónico</t>
  </si>
  <si>
    <t>Escáner (Aulas de capacitación, laboratorios y sala de cómputo)</t>
  </si>
  <si>
    <t>Estación de trabajo</t>
  </si>
  <si>
    <t>Multifuncional (laboratorios y sala de cómputo)</t>
  </si>
  <si>
    <t>Ruteador</t>
  </si>
  <si>
    <t>Servidor de datos</t>
  </si>
  <si>
    <t>Sistema de almacenamiento de datos</t>
  </si>
  <si>
    <t>Tablet (capacitación)</t>
  </si>
  <si>
    <t>Teléfono</t>
  </si>
  <si>
    <t>Unidad de protección y respaldo de energía (UPS) (Aulas de capacitación, laboratorios y sala de cómputo)</t>
  </si>
  <si>
    <t>Pizarrón interactivo</t>
  </si>
  <si>
    <t>Otros mobiliarios y equipos de administración</t>
  </si>
  <si>
    <t>Aire acondicionado</t>
  </si>
  <si>
    <t>Circuito Cerrado de Televisión (CCTV)</t>
  </si>
  <si>
    <t>Enfriador y calentador de agua</t>
  </si>
  <si>
    <t>Pantalla para proyector (Aulas de capacitación, laboratorios, sala de cómputo y auditorio)</t>
  </si>
  <si>
    <t>Tarjas con instalación y accesorios con triturador de desechos</t>
  </si>
  <si>
    <t>Triturador de papel</t>
  </si>
  <si>
    <t>Ventilador</t>
  </si>
  <si>
    <t>Aspiradora</t>
  </si>
  <si>
    <t>Soporte para Pantalla</t>
  </si>
  <si>
    <t>Cafetera</t>
  </si>
  <si>
    <t>Horno de microondas</t>
  </si>
  <si>
    <t>Mobiliario y Equipo Educacional y Recreativo</t>
  </si>
  <si>
    <t>Equipos y aparatos audiovisuales</t>
  </si>
  <si>
    <t>Amplificador (auditorio)</t>
  </si>
  <si>
    <t>Equipo de sonido (auditorio)</t>
  </si>
  <si>
    <t>Mezcladora (auditorio)</t>
  </si>
  <si>
    <t>Micrófono</t>
  </si>
  <si>
    <t>Pantalla</t>
  </si>
  <si>
    <t>Audífonos</t>
  </si>
  <si>
    <t>Pantalla retráctil</t>
  </si>
  <si>
    <t>Equipo de audio y video para sala de juicios orales</t>
  </si>
  <si>
    <t>Aparatos deportivos</t>
  </si>
  <si>
    <t>Aparato pantorrilla</t>
  </si>
  <si>
    <t>Barra</t>
  </si>
  <si>
    <t>Bicicleta fija (especificar)</t>
  </si>
  <si>
    <t>Caminadora</t>
  </si>
  <si>
    <t xml:space="preserve">Careta para taekwondo </t>
  </si>
  <si>
    <t>Costal de box</t>
  </si>
  <si>
    <t>Discos (Pesas)</t>
  </si>
  <si>
    <t>Elíptica</t>
  </si>
  <si>
    <t>Equipo de tacleo</t>
  </si>
  <si>
    <t>Equipo para bíceps</t>
  </si>
  <si>
    <t>Equipo para ejercitar bíceps y tríceps</t>
  </si>
  <si>
    <t>Equipo para ejercitar espalda</t>
  </si>
  <si>
    <t>Equipo para ejercitar pectoral</t>
  </si>
  <si>
    <t>Equipo para ejercitar pectorales y hombro</t>
  </si>
  <si>
    <t>Equipo para ejercitar pierna</t>
  </si>
  <si>
    <t xml:space="preserve">Espinilleras para taekwondo </t>
  </si>
  <si>
    <t>Extensión de pierna con peso integrado</t>
  </si>
  <si>
    <t>Guantes de box</t>
  </si>
  <si>
    <t>Guantes mma</t>
  </si>
  <si>
    <t>Juego de mancuernas</t>
  </si>
  <si>
    <t>Par/juego</t>
  </si>
  <si>
    <t>Manoplas</t>
  </si>
  <si>
    <t>Máquina Smith</t>
  </si>
  <si>
    <t>Módulo para montaje de costal de entrenamiento</t>
  </si>
  <si>
    <t>Multipolea</t>
  </si>
  <si>
    <t xml:space="preserve">Muñeco para entrenamiento </t>
  </si>
  <si>
    <t>Peras fijas</t>
  </si>
  <si>
    <t xml:space="preserve">Peto para taekwondo </t>
  </si>
  <si>
    <t>Polea para espalda y remo peso integrado</t>
  </si>
  <si>
    <t>Porta mancuerna</t>
  </si>
  <si>
    <t>Portadiscos</t>
  </si>
  <si>
    <t>Prensa para pierna</t>
  </si>
  <si>
    <t>Rack</t>
  </si>
  <si>
    <t>Remadora</t>
  </si>
  <si>
    <t>Set olímpico</t>
  </si>
  <si>
    <t>Slam ball</t>
  </si>
  <si>
    <t>Tabla abdominal</t>
  </si>
  <si>
    <t>Torre multifuncional</t>
  </si>
  <si>
    <t>Cámaras fotográficas y de video</t>
  </si>
  <si>
    <t>Cámara fotográfica</t>
  </si>
  <si>
    <t>Tripié</t>
  </si>
  <si>
    <t>Videoproyector</t>
  </si>
  <si>
    <t>Videocámara</t>
  </si>
  <si>
    <t>Vehículos y Equipo de Transporte</t>
  </si>
  <si>
    <t>Vehículos y equipo terrestre</t>
  </si>
  <si>
    <t>Autobús</t>
  </si>
  <si>
    <t>Cuatrimoto (para prácticas policiales, equipada tipo patrulla y rotulada "capacitación")</t>
  </si>
  <si>
    <t>Motocicleta (para prácticas policiales, equipada tipo patrulla y rotulada "capacitación")</t>
  </si>
  <si>
    <t>Vehículo (tipo sedán, para prácticas policiales, equipada tipo patrulla y rotulada "capacitación")</t>
  </si>
  <si>
    <t>Vehículo (tipo pick up doble cabina, para prácticas policiales, equipada tipo patrulla y rotulada "capacitación")</t>
  </si>
  <si>
    <t>Equipo de Defensa y Seguridad</t>
  </si>
  <si>
    <t>Equipo de defensa y seguridad</t>
  </si>
  <si>
    <t>Ariete</t>
  </si>
  <si>
    <t>Arma corta</t>
  </si>
  <si>
    <t>Arma larga</t>
  </si>
  <si>
    <t>Binoculares</t>
  </si>
  <si>
    <t>Cizalla</t>
  </si>
  <si>
    <t>Implemento de visión nocturna</t>
  </si>
  <si>
    <t>Implemento para abrir ventanas</t>
  </si>
  <si>
    <t>Mira telescópica diurna y nocturna</t>
  </si>
  <si>
    <t>Puntero láser</t>
  </si>
  <si>
    <t>Réplica de cuchillo</t>
  </si>
  <si>
    <t>Réplica de fusil</t>
  </si>
  <si>
    <t>Réplica de pistola</t>
  </si>
  <si>
    <t>Pistola Láser</t>
  </si>
  <si>
    <t>Dispositivo de descarga eléctrica</t>
  </si>
  <si>
    <t>Fusiles de utilería</t>
  </si>
  <si>
    <t>Pistolas de utilería</t>
  </si>
  <si>
    <t>Maquinaria, otros equipos y herramientas</t>
  </si>
  <si>
    <t>Otros equipos</t>
  </si>
  <si>
    <t>Equipo para entrenamiento (Simulador de manejo de patrulla)</t>
  </si>
  <si>
    <t>Extintor</t>
  </si>
  <si>
    <t>Simulador de tiro virtual</t>
  </si>
  <si>
    <t>Tanque CO2 (Simulador Virtual)</t>
  </si>
  <si>
    <t>Activos Intangibles</t>
  </si>
  <si>
    <t>Software</t>
  </si>
  <si>
    <t>Software (antivirus y ofimática.-Procesador de textos; Hoja de calculo; manejador de base de datos; elaboración de presentaciones; etc...)</t>
  </si>
  <si>
    <t>Licencia</t>
  </si>
  <si>
    <t>Licencias informáticas e intelectuales</t>
  </si>
  <si>
    <t>Licencias (antivirus y ofimática.-Procesador de textos; Hoja de calculo; manejador de base de datos; elaboración de presentaciones; etc...)</t>
  </si>
  <si>
    <t>Infraestructura de las Instancias de Profesionalización de las Instituciones Policiales</t>
  </si>
  <si>
    <t>Inversión Pública</t>
  </si>
  <si>
    <t>Obra Pública en Bienes Propios</t>
  </si>
  <si>
    <t>Edificación no habitacional</t>
  </si>
  <si>
    <t>Construcción
Dependencia: 
Nombre: 
Domicilio: 
Meta: 
Etapa:</t>
  </si>
  <si>
    <t>Obra</t>
  </si>
  <si>
    <t>Mejoramiento y/o ampliación
Dependencia: 
Nombre: 
Domicilio: 
Meta: 
Etapa:</t>
  </si>
  <si>
    <t>Servicio Profesional de Carrera</t>
  </si>
  <si>
    <t>Incremento del Estado de Fuerza de las Instituciones Policiales</t>
  </si>
  <si>
    <t>Transferencias, Asignaciones, Subsidios y Otras Ayudas</t>
  </si>
  <si>
    <t>Ayudas Sociales</t>
  </si>
  <si>
    <t>Becas y otras ayudas para programas de capacitación</t>
  </si>
  <si>
    <t>Becas para aspirantes a Policía Municipal</t>
  </si>
  <si>
    <t>Beca</t>
  </si>
  <si>
    <t>Evaluaciones de Control de Confianza para las y los Integrantes de las  Instituciones de Seguridad Pública</t>
  </si>
  <si>
    <t>Aplicación de evaluaciones a personal en activo y nuevo ingreso</t>
  </si>
  <si>
    <t>Mejora Salarial, Incentivos y Reconocimientos para las y los Integrantes de las Instituciones de Seguridad Pública</t>
  </si>
  <si>
    <t>Servicios Personales</t>
  </si>
  <si>
    <t>Remuneraciones al personal de carácter permanente</t>
  </si>
  <si>
    <t>Sueldos base al personal permanente</t>
  </si>
  <si>
    <t>Sueldo base (Proyecto de Reestructuración y Homologación Salarial del personal operativo)</t>
  </si>
  <si>
    <t>Persona</t>
  </si>
  <si>
    <t xml:space="preserve">Pago de Estímulos a Servidores Públicos </t>
  </si>
  <si>
    <t>Estímulos</t>
  </si>
  <si>
    <t>Estímulos por productividad y eficiencia</t>
  </si>
  <si>
    <t>Estímulos al personal operativo</t>
  </si>
  <si>
    <t>Recompensas</t>
  </si>
  <si>
    <t>Seguridad Social y Prestaciones para las y los integrantes de las Instituciones de Seguridad Pública</t>
  </si>
  <si>
    <t>Otros Servicios Generales</t>
  </si>
  <si>
    <t>Servicios funerarios y de cementerios</t>
  </si>
  <si>
    <t>Funerales y pagas de defunción (Programa de Mejora de las Condiciones Laborales)</t>
  </si>
  <si>
    <t xml:space="preserve">Subsidios y Subvenciones </t>
  </si>
  <si>
    <t>Subsidios a la vivienda</t>
  </si>
  <si>
    <t>Subsidios para la adquisición de vivienda de interés social (Programa de Mejora de las Condiciones Laborales)</t>
  </si>
  <si>
    <t>Desarrollo  de las Capacidades de las Instituciones de Seguridad Pública</t>
  </si>
  <si>
    <t>Fortalecimiento de las Instituciones Policiales</t>
  </si>
  <si>
    <t/>
  </si>
  <si>
    <t>Equipamiento de las Instituciones Policiales</t>
  </si>
  <si>
    <t>Alimentos y Utensilios</t>
  </si>
  <si>
    <t>Productos alimenticios para personas</t>
  </si>
  <si>
    <t>Productos alimenticios para personas (Operativos en conjunto)</t>
  </si>
  <si>
    <t>Utensilios para el servicio de alimentación</t>
  </si>
  <si>
    <t>Productos Químicos, Farmacéuticos y de Laboratorio</t>
  </si>
  <si>
    <t>Materiales, accesorios y suministros médicos</t>
  </si>
  <si>
    <t>Botiquín táctico</t>
  </si>
  <si>
    <t>Otros productos químicos</t>
  </si>
  <si>
    <t>Gasolina y diésel (Operativos conjuntos)</t>
  </si>
  <si>
    <t xml:space="preserve">Litro </t>
  </si>
  <si>
    <t>Bermuda_Seguridad Pública Municipal</t>
  </si>
  <si>
    <t>Boina_Seguridad Pública Municipal</t>
  </si>
  <si>
    <t>Botas (especificar)_Seguridad Pública Municipal</t>
  </si>
  <si>
    <t>Camisa (especificar)_Seguridad Pública Municipal</t>
  </si>
  <si>
    <t>Camisola (especificar)_Seguridad Pública Municipal</t>
  </si>
  <si>
    <t>Chaleco táctico_Seguridad Pública Municipal</t>
  </si>
  <si>
    <t>Chamarra (especificar)_Seguridad Pública Municipal</t>
  </si>
  <si>
    <t>Chanchomón_Seguridad Pública Municipal</t>
  </si>
  <si>
    <t>Cinturón táctico_Seguridad Pública Municipal</t>
  </si>
  <si>
    <t>Corbata_Seguridad Pública Municipal</t>
  </si>
  <si>
    <t>Funda lateral (especificar)_Seguridad Pública Municipal</t>
  </si>
  <si>
    <t>Gorra tipo beisbolera_Seguridad Pública Municipal</t>
  </si>
  <si>
    <t>Guantes de gala_Seguridad Pública Municipal</t>
  </si>
  <si>
    <t>Impermeable_Seguridad Pública Municipal</t>
  </si>
  <si>
    <t>Insignias y divisas_Seguridad Pública Municipal</t>
  </si>
  <si>
    <t>Pieza/Juego</t>
  </si>
  <si>
    <t>Kepí_Seguridad Pública Municipal</t>
  </si>
  <si>
    <t>Overol táctico_Seguridad Pública Municipal</t>
  </si>
  <si>
    <t>Pantalón (especificar)_Seguridad Pública Municipal</t>
  </si>
  <si>
    <t>Pasa montañas táctico_Seguridad Pública Municipal</t>
  </si>
  <si>
    <t>Playera interior_Seguridad Pública Municipal</t>
  </si>
  <si>
    <t>Playera tipo polo_Seguridad Pública Municipal</t>
  </si>
  <si>
    <t>Porta bastón policial (especificar)_Seguridad Pública Municipal</t>
  </si>
  <si>
    <t>Porta cargador_Seguridad Pública Municipal</t>
  </si>
  <si>
    <t>Porta esposas_Seguridad Pública Municipal</t>
  </si>
  <si>
    <t>Porta fusil táctico_Seguridad Pública Municipal</t>
  </si>
  <si>
    <t>Porta lámpara_Seguridad Pública Municipal</t>
  </si>
  <si>
    <t>Porta radio_Seguridad Pública Municipal</t>
  </si>
  <si>
    <t>Porta silbato_Seguridad Pública Municipal</t>
  </si>
  <si>
    <t>Rompevientos_Seguridad Pública Municipal</t>
  </si>
  <si>
    <t>Short_Seguridad Pública Municipal</t>
  </si>
  <si>
    <t>Silbato policía_Seguridad Pública Municipal</t>
  </si>
  <si>
    <t>Sudadera_Seguridad Pública Municipal</t>
  </si>
  <si>
    <t>Tenis_Seguridad Pública Municipal</t>
  </si>
  <si>
    <t>Tocado con bordado_Seguridad Pública Municipal</t>
  </si>
  <si>
    <t>Traje de gala_Seguridad Pública Municipal</t>
  </si>
  <si>
    <t>Traje táctico completo_Seguridad Pública Municipal</t>
  </si>
  <si>
    <t>Zapato tipo choclo_Seguridad Pública Municipal</t>
  </si>
  <si>
    <t>Fornitura_Seguridad Pública Municipal</t>
  </si>
  <si>
    <t>Funda para chaleco_Seguridad Pública Municipal</t>
  </si>
  <si>
    <t>Blancos y otros productos textiles, excepto prendas de vestir</t>
  </si>
  <si>
    <t>Blancos_Seguridad Pública Municipal</t>
  </si>
  <si>
    <t>Colchón_Seguridad Pública Municipal</t>
  </si>
  <si>
    <t>Cargador de arma corta_Seguridad Pública Municipal</t>
  </si>
  <si>
    <t>Cargador de arma larga_Seguridad Pública Municipal</t>
  </si>
  <si>
    <t>Cartuchos para arma corta_Seguridad Pública Municipal</t>
  </si>
  <si>
    <t>Cartuchos para arma larga_Seguridad Pública Municipal</t>
  </si>
  <si>
    <t>Gas lacrimógeno_Seguridad Pública Municipal</t>
  </si>
  <si>
    <t>Gas Pimienta en aerosol_Seguridad Pública Municipal</t>
  </si>
  <si>
    <t>Granada no letal_Seguridad Pública Municipal</t>
  </si>
  <si>
    <t>Arnés de seguridad_Seguridad Pública Municipal</t>
  </si>
  <si>
    <t>Bastón policial PR-24_Seguridad Pública Municipal</t>
  </si>
  <si>
    <t>Bastón retráctil con porta bastón_Seguridad Pública Municipal</t>
  </si>
  <si>
    <t>Candado de mano de nylon_Seguridad Pública Municipal</t>
  </si>
  <si>
    <t>Candado de mano metálico (esposas)_Seguridad Pública Municipal</t>
  </si>
  <si>
    <t>Casco antimotín_Seguridad Pública Municipal</t>
  </si>
  <si>
    <t>Casco balístico mínimo nivel III-A_Seguridad Pública Municipal</t>
  </si>
  <si>
    <t>Casco para ciclista_Seguridad Pública Municipal</t>
  </si>
  <si>
    <t>Casco para motociclista_Seguridad Pública Municipal</t>
  </si>
  <si>
    <t>Chaleco antipunta_Seguridad Pública Municipal</t>
  </si>
  <si>
    <t>Chaleco balístico mínimo nivel III-A_Seguridad Pública Municipal</t>
  </si>
  <si>
    <t>Chaleco balístico mínimo nivel III-A, con dos placas balísticas nivel IV_Seguridad Pública Municipal</t>
  </si>
  <si>
    <t>Coderas para motociclista_Seguridad Pública Municipal</t>
  </si>
  <si>
    <t>Coderas tácticas_Seguridad Pública Municipal</t>
  </si>
  <si>
    <t>Coderas para ciclista_Seguridad Pública Municipal</t>
  </si>
  <si>
    <t>Cuerdas de rapel_Seguridad Pública Municipal</t>
  </si>
  <si>
    <t>Descensor_Seguridad Pública Municipal</t>
  </si>
  <si>
    <t>Equipo antimotín_Seguridad Pública Municipal</t>
  </si>
  <si>
    <t>Escudo antimotín_Seguridad Pública Municipal</t>
  </si>
  <si>
    <t>Escudo balístico_Seguridad Pública Municipal</t>
  </si>
  <si>
    <t>Espejo táctico_Seguridad Pública Municipal</t>
  </si>
  <si>
    <t>Goggle táctico_Seguridad Pública Municipal</t>
  </si>
  <si>
    <t>Guantes para ciclista_Seguridad Pública Municipal</t>
  </si>
  <si>
    <t>Guantes para motociclista_Seguridad Pública Municipal</t>
  </si>
  <si>
    <t>Guantes tácticos_Seguridad Pública Municipal</t>
  </si>
  <si>
    <t>Lámpara táctica_Seguridad Pública Municipal</t>
  </si>
  <si>
    <t>Mochila Táctica (especificar)_Seguridad Pública Municipal</t>
  </si>
  <si>
    <t>Mosquetón de acero_Seguridad Pública Municipal</t>
  </si>
  <si>
    <t>Placa balística Nivel IV_Seguridad Pública Municipal</t>
  </si>
  <si>
    <t>Rodilleras para ciclista_Seguridad Pública Municipal</t>
  </si>
  <si>
    <t>Rodilleras para motociclista_Seguridad Pública Municipal</t>
  </si>
  <si>
    <t>Rodilleras tácticas_Seguridad Pública Municipal</t>
  </si>
  <si>
    <t>Piernera táctica_Seguridad Pública Municipal</t>
  </si>
  <si>
    <t>Herramientas, Refacciones y Accesorios Menores</t>
  </si>
  <si>
    <t>Refacciones y accesorios menores de equipo e instrumental médico y de laboratorio</t>
  </si>
  <si>
    <t xml:space="preserve">Kit de primer respondiente para oficial pie tierra </t>
  </si>
  <si>
    <t>Kit de primer respondiente para patrulla</t>
  </si>
  <si>
    <t>Refacciones y accesorios menores de equipo de transporte</t>
  </si>
  <si>
    <t>Escalera (grupo táctico)</t>
  </si>
  <si>
    <t>Servicios de Telecomunicaciones y Satélites</t>
  </si>
  <si>
    <t>Servicios de Telecomunicaciones y Satélites_Seguridad Pública Municipal</t>
  </si>
  <si>
    <t>Arrendamiento de Equipo de Transporte</t>
  </si>
  <si>
    <t>Arrendamiento de unidades_Seguridad Pública Municipal</t>
  </si>
  <si>
    <t>Instalación, Reparación y Mantenimiento de Equipo de Cómputo y Tecnología de la Información</t>
  </si>
  <si>
    <t>Mantenimiento y conservación de bienes informáticos</t>
  </si>
  <si>
    <t>Reparación y mantenimiento de equipo de transporte</t>
  </si>
  <si>
    <t>Mantenimiento de vehículos (Vehículo tipo patrulla)</t>
  </si>
  <si>
    <t>Servicios de Traslado y Viáticos</t>
  </si>
  <si>
    <t>Viáticos en el país</t>
  </si>
  <si>
    <t>Viáticos nacionales asociados a los programas de seguridad pública (Operativos Conjuntos)_Seguridad Pública Municipal</t>
  </si>
  <si>
    <t xml:space="preserve">Anaquel_Seguridad Pública Municipal </t>
  </si>
  <si>
    <t xml:space="preserve">Archivero_Seguridad Pública Municipal </t>
  </si>
  <si>
    <t xml:space="preserve">Banca_Seguridad Pública Municipal </t>
  </si>
  <si>
    <t xml:space="preserve">Credenza_Seguridad Pública Municipal </t>
  </si>
  <si>
    <t xml:space="preserve">Escritorio_Seguridad Pública Municipal </t>
  </si>
  <si>
    <t xml:space="preserve">Estación de trabajo_Seguridad Pública Municipal </t>
  </si>
  <si>
    <t xml:space="preserve">Estante_Seguridad Pública Municipal </t>
  </si>
  <si>
    <t xml:space="preserve">Gabinete_Seguridad Pública Municipal </t>
  </si>
  <si>
    <t xml:space="preserve">Juego de mesa_Seguridad Pública Municipal </t>
  </si>
  <si>
    <t xml:space="preserve">Librero_Seguridad Pública Municipal </t>
  </si>
  <si>
    <t xml:space="preserve">Locker_Seguridad Pública Municipal </t>
  </si>
  <si>
    <t xml:space="preserve">Mesa_Seguridad Pública Municipal </t>
  </si>
  <si>
    <t xml:space="preserve">Módulo_Seguridad Pública Municipal </t>
  </si>
  <si>
    <t xml:space="preserve">Mostrador_Seguridad Pública Municipal </t>
  </si>
  <si>
    <t xml:space="preserve">Sala_Seguridad Pública Municipal </t>
  </si>
  <si>
    <t xml:space="preserve">Silla_Seguridad Pública Municipal </t>
  </si>
  <si>
    <t xml:space="preserve">Sillón_Seguridad Pública Municipal </t>
  </si>
  <si>
    <t>Muebles, excepto de oficina y estantería</t>
  </si>
  <si>
    <t xml:space="preserve">Cama_Seguridad Pública Municipal </t>
  </si>
  <si>
    <t xml:space="preserve">Litera_Seguridad Pública Municipal </t>
  </si>
  <si>
    <t>Access point_Seguridad Pública Municipal</t>
  </si>
  <si>
    <t>Computadora de escritorio_Seguridad Pública Municipal</t>
  </si>
  <si>
    <t>Computadora portátil_Seguridad Pública Municipal</t>
  </si>
  <si>
    <t>Conmutador de datos (Switch)_Seguridad Pública Municipal</t>
  </si>
  <si>
    <t>Disco duro externo_Seguridad Pública Municipal</t>
  </si>
  <si>
    <t>Equipo de seguridad para filtrar información (firewall)_Seguridad Pública Municipal</t>
  </si>
  <si>
    <t>Escáner_Seguridad Pública Municipal</t>
  </si>
  <si>
    <t>Multifuncional_Seguridad Pública Municipal</t>
  </si>
  <si>
    <t>Regulador de voltaje_Seguridad Pública Municipal</t>
  </si>
  <si>
    <t>Servidor_Seguridad Pública Municipal</t>
  </si>
  <si>
    <t>Switch de 24 Puertos _Seguridad Pública Municipal</t>
  </si>
  <si>
    <t>Switch de 48 puertos_Seguridad Pública Municipal</t>
  </si>
  <si>
    <t>Tablet_Seguridad Pública Municipal</t>
  </si>
  <si>
    <t>Unidad de protección y respaldo de energía (UPS)_Seguridad Pública Municipal</t>
  </si>
  <si>
    <t>Sistema portátil de grabación en patrulla_Seguridad Pública Municipal</t>
  </si>
  <si>
    <t>Cámara de solapa_Seguridad Pública Municipal</t>
  </si>
  <si>
    <t>Cargador para cámara de solapa_Seguridad Pública Municipal</t>
  </si>
  <si>
    <t>Bicicleta tipo patrulla equipada con balizamiento_Seguridad Pública Municipal</t>
  </si>
  <si>
    <t>Cuatrimoto tipo patrulla equipada con balizamiento_Seguridad Pública Municipal</t>
  </si>
  <si>
    <t>Motocicleta tipo patrulla equipada con balizamiento_Seguridad Pública Municipal</t>
  </si>
  <si>
    <t>Pick up doble cabina tipo patrulla equipada con balizamiento (especificar)_Seguridad Pública Municipal</t>
  </si>
  <si>
    <t>Sedán tipo patrulla equipado con balizamiento (especificar)_Seguridad Pública Municipal</t>
  </si>
  <si>
    <t>Vehículo Táctico_Seguridad Pública Municipal (conforme al Manual de Identidad para las Corporaciones de Seguridad Pública)</t>
  </si>
  <si>
    <t>Camioneta tipo SUV tipo patrulla equipada con balizamiento_Seguridad Pública Municipal Sólo para policía de Proximidad no de alta gama</t>
  </si>
  <si>
    <t>Arma corta_Seguridad Pública Municipal</t>
  </si>
  <si>
    <t>Arma larga_Seguridad Pública Municipal</t>
  </si>
  <si>
    <t>Activos Biológicos</t>
  </si>
  <si>
    <t>Especies menores y de zoológico</t>
  </si>
  <si>
    <t>Animales de custodia y vigilancia (canino)_Seguridad Pública Municipal</t>
  </si>
  <si>
    <t>Software_Seguridad Pública Municipal</t>
  </si>
  <si>
    <t>Licencias_Seguridad Pública Municipal</t>
  </si>
  <si>
    <t>Infraestructura de las Instituciones Policiales</t>
  </si>
  <si>
    <t>Mejoramiento y/o ampliación_Seguridad Pública
Dependencia: 
Nombre: 
Domicilio:  
Meta: 
Etapa:</t>
  </si>
  <si>
    <t>Modernización  y Estandarización de la Infraestructura Tecnológica para la Seguridad Pública</t>
  </si>
  <si>
    <t>Fortalecimiento Tecnológico y Operativo de los Centros de Comando y Control y las Instituciones de Seguridad Pública</t>
  </si>
  <si>
    <t>Actualización, Modernización y Mantenimiento de la Red Nacional de Radiocomunicación</t>
  </si>
  <si>
    <t>Maquinaria, Otros Equipos y Herramientas</t>
  </si>
  <si>
    <t>Equipo de comunicación y telecomunicación</t>
  </si>
  <si>
    <t>Terminal móvil</t>
  </si>
  <si>
    <t>Terminal portátil</t>
  </si>
  <si>
    <t>Equipos de generación eléctrica, aparatos y accesorios eléctricos</t>
  </si>
  <si>
    <t>Batería para terminal portátil</t>
  </si>
  <si>
    <t>Sistemas de Identificación Vehicular y Videovigilancia Urbana para la Seguridad Pública</t>
  </si>
  <si>
    <t>Material eléctrico y electrónico</t>
  </si>
  <si>
    <t>Mantenimiento preventivo y/o correctivo para sistemas de Identificación Vehicular y/o Videovigilancia Urbana</t>
  </si>
  <si>
    <t>Computadora de escritorio</t>
  </si>
  <si>
    <t>Conmutador de datos (con o sin PoE)</t>
  </si>
  <si>
    <t>Dispositivo de control (Joystick)</t>
  </si>
  <si>
    <t>Pantalla para PC</t>
  </si>
  <si>
    <t>Servidor de cómputo</t>
  </si>
  <si>
    <t>Sistema de grabación y almacenamiento de video</t>
  </si>
  <si>
    <t>Unidad de protección y respaldo de energía (UPS)</t>
  </si>
  <si>
    <t>Pantalla para videowall</t>
  </si>
  <si>
    <t>Equipo/Pieza</t>
  </si>
  <si>
    <t>Cámara IP</t>
  </si>
  <si>
    <t>Cámara LPR</t>
  </si>
  <si>
    <t>Enlace de microondas e inalámbrico</t>
  </si>
  <si>
    <t>Gabinete de equipos tipo nema</t>
  </si>
  <si>
    <t>Poste metálico</t>
  </si>
  <si>
    <t>Regulador de voltaje</t>
  </si>
  <si>
    <t>Torre (arriostrada-autosoportada)</t>
  </si>
  <si>
    <t>Equipo de protección contra descargas atmosféricas (Sistema de Tierras Físicas y Apartarrayos)</t>
  </si>
  <si>
    <t>Licencias</t>
  </si>
  <si>
    <t>Modernización de las Instancias Estatales del Registro Público Vehicular (REPUVE)</t>
  </si>
  <si>
    <t>Fortalecimiento de la Infraestructura de los Puntos de Monitoreo Vehicular (RFID+LPR)</t>
  </si>
  <si>
    <t>Servicios integrales y otros servicios</t>
  </si>
  <si>
    <t>Servicios integrales de telecomunicación</t>
  </si>
  <si>
    <t>ENTIDAD FEDERATIVA: PUEBLA</t>
  </si>
  <si>
    <t>MUNICIPIO: CUETZALAN DEL PROGRESO</t>
  </si>
  <si>
    <t xml:space="preserve">LIC. OSCAR PAULA CRUZ </t>
  </si>
  <si>
    <t>PRESIDENTE MUNICIPAL CONSTITUCIONAL</t>
  </si>
  <si>
    <t>(DIEZ MILLONES TRESCIENTOS SETENTA Y UN MIL DOSCIENTOS CINCUENTA Y TRES PESOS 70/100 M.N.)</t>
  </si>
  <si>
    <t>Construcción_Seguridad Pública
Dependencia:
Nombre:
Domicilio:
Meta:
Etapa: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</si>
</sst>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_);_(* \(#,##0\);_(* &quot;-&quot;??_);_(@_)"/>
    <numFmt numFmtId="165" formatCode="mmmm\-yyyy"/>
    <numFmt numFmtId="166" formatCode="00"/>
    <numFmt numFmtId="167" formatCode="000"/>
    <numFmt numFmtId="168" formatCode="_-* #,##0_-;\-* #,##0_-;_-* &quot;-&quot;??_-;_-@_-"/>
    <numFmt numFmtId="169" formatCode="000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9"/>
      <color rgb="FFFF0000"/>
      <name val="Noto Sans"/>
      <family val="2"/>
    </font>
    <font>
      <b/>
      <sz val="19"/>
      <name val="Monserrat"/>
    </font>
    <font>
      <sz val="11"/>
      <color indexed="8"/>
      <name val="Calibri"/>
      <family val="2"/>
    </font>
    <font>
      <b/>
      <sz val="22"/>
      <name val="Noto Sans"/>
      <family val="2"/>
    </font>
    <font>
      <b/>
      <sz val="19"/>
      <name val="Noto Sans"/>
      <family val="2"/>
    </font>
    <font>
      <sz val="19"/>
      <color theme="1"/>
      <name val="Noto Sans"/>
      <family val="2"/>
    </font>
    <font>
      <b/>
      <sz val="22"/>
      <color indexed="8"/>
      <name val="Noto Sans"/>
      <family val="2"/>
    </font>
    <font>
      <sz val="19"/>
      <name val="Noto Sans"/>
      <family val="2"/>
    </font>
    <font>
      <sz val="22"/>
      <name val="Noto Sans"/>
      <family val="2"/>
    </font>
    <font>
      <sz val="12"/>
      <name val="Noto Sans"/>
      <family val="2"/>
    </font>
    <font>
      <b/>
      <sz val="12"/>
      <name val="Monserrat"/>
    </font>
    <font>
      <b/>
      <sz val="12"/>
      <name val="Noto Sans"/>
      <family val="2"/>
    </font>
    <font>
      <b/>
      <sz val="12"/>
      <color theme="1"/>
      <name val="Noto Sans"/>
      <family val="2"/>
    </font>
    <font>
      <sz val="12"/>
      <name val="Monserrat"/>
    </font>
    <font>
      <sz val="12"/>
      <name val="Arial"/>
      <family val="2"/>
    </font>
    <font>
      <b/>
      <sz val="12"/>
      <name val="Arial"/>
      <family val="2"/>
    </font>
    <font>
      <sz val="8"/>
      <name val="Aptos Narrow"/>
      <family val="2"/>
      <scheme val="minor"/>
    </font>
    <font>
      <b/>
      <sz val="18"/>
      <color theme="1"/>
      <name val="Aptos Narrow"/>
      <scheme val="minor"/>
    </font>
    <font>
      <sz val="14"/>
      <name val="Noto Sans"/>
      <family val="2"/>
    </font>
    <font>
      <sz val="11"/>
      <name val="Noto San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D5AB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5">
    <xf numFmtId="0" fontId="0" fillId="0" borderId="0" xfId="0"/>
    <xf numFmtId="0" fontId="2" fillId="0" borderId="0" xfId="0" applyFont="1" applyProtection="1">
      <protection locked="0"/>
    </xf>
    <xf numFmtId="164" fontId="3" fillId="0" borderId="0" xfId="0" applyNumberFormat="1" applyFont="1" applyAlignment="1">
      <alignment vertical="center"/>
    </xf>
    <xf numFmtId="164" fontId="5" fillId="0" borderId="0" xfId="2" applyNumberFormat="1" applyFont="1" applyAlignment="1">
      <alignment vertical="center"/>
    </xf>
    <xf numFmtId="164" fontId="6" fillId="0" borderId="0" xfId="2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2" fillId="0" borderId="0" xfId="0" applyFont="1"/>
    <xf numFmtId="164" fontId="5" fillId="2" borderId="0" xfId="2" applyNumberFormat="1" applyFont="1" applyFill="1" applyAlignment="1">
      <alignment vertical="center"/>
    </xf>
    <xf numFmtId="164" fontId="6" fillId="2" borderId="0" xfId="2" applyNumberFormat="1" applyFont="1" applyFill="1" applyAlignment="1">
      <alignment horizontal="center" vertical="center"/>
    </xf>
    <xf numFmtId="164" fontId="6" fillId="2" borderId="0" xfId="2" applyNumberFormat="1" applyFont="1" applyFill="1" applyAlignment="1" applyProtection="1">
      <alignment vertical="center"/>
      <protection locked="0"/>
    </xf>
    <xf numFmtId="164" fontId="6" fillId="2" borderId="0" xfId="2" applyNumberFormat="1" applyFont="1" applyFill="1" applyAlignment="1" applyProtection="1">
      <alignment horizontal="center" vertical="center"/>
      <protection locked="0"/>
    </xf>
    <xf numFmtId="164" fontId="5" fillId="2" borderId="0" xfId="2" applyNumberFormat="1" applyFont="1" applyFill="1" applyAlignment="1" applyProtection="1">
      <alignment vertical="center"/>
      <protection locked="0"/>
    </xf>
    <xf numFmtId="164" fontId="6" fillId="0" borderId="0" xfId="2" applyNumberFormat="1" applyFont="1" applyAlignment="1" applyProtection="1">
      <alignment vertical="center"/>
    </xf>
    <xf numFmtId="164" fontId="6" fillId="0" borderId="0" xfId="2" applyNumberFormat="1" applyFont="1" applyAlignment="1" applyProtection="1">
      <alignment horizontal="center" vertical="center"/>
    </xf>
    <xf numFmtId="164" fontId="5" fillId="0" borderId="0" xfId="0" applyNumberFormat="1" applyFont="1" applyAlignment="1">
      <alignment vertical="center"/>
    </xf>
    <xf numFmtId="0" fontId="6" fillId="0" borderId="0" xfId="0" applyFont="1"/>
    <xf numFmtId="164" fontId="6" fillId="0" borderId="0" xfId="0" applyNumberFormat="1" applyFont="1" applyAlignment="1">
      <alignment vertical="center"/>
    </xf>
    <xf numFmtId="165" fontId="6" fillId="0" borderId="1" xfId="0" applyNumberFormat="1" applyFont="1" applyBorder="1" applyAlignment="1" applyProtection="1">
      <alignment horizontal="left" vertical="center"/>
      <protection locked="0"/>
    </xf>
    <xf numFmtId="165" fontId="6" fillId="0" borderId="0" xfId="0" applyNumberFormat="1" applyFont="1" applyAlignment="1">
      <alignment horizontal="left" vertical="center"/>
    </xf>
    <xf numFmtId="164" fontId="6" fillId="2" borderId="1" xfId="0" applyNumberFormat="1" applyFont="1" applyFill="1" applyBorder="1"/>
    <xf numFmtId="164" fontId="6" fillId="0" borderId="0" xfId="0" applyNumberFormat="1" applyFont="1" applyAlignment="1">
      <alignment horizontal="center"/>
    </xf>
    <xf numFmtId="164" fontId="6" fillId="4" borderId="3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textRotation="90" wrapText="1"/>
    </xf>
    <xf numFmtId="0" fontId="5" fillId="3" borderId="2" xfId="0" applyFont="1" applyFill="1" applyBorder="1" applyAlignment="1">
      <alignment horizontal="center" vertical="center" wrapText="1"/>
    </xf>
    <xf numFmtId="43" fontId="5" fillId="3" borderId="2" xfId="1" applyFont="1" applyFill="1" applyBorder="1" applyAlignment="1">
      <alignment vertical="center" wrapText="1"/>
    </xf>
    <xf numFmtId="4" fontId="6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166" fontId="5" fillId="5" borderId="5" xfId="0" applyNumberFormat="1" applyFont="1" applyFill="1" applyBorder="1" applyAlignment="1">
      <alignment horizontal="center" vertical="center"/>
    </xf>
    <xf numFmtId="4" fontId="5" fillId="5" borderId="5" xfId="0" applyNumberFormat="1" applyFont="1" applyFill="1" applyBorder="1" applyAlignment="1">
      <alignment vertical="center"/>
    </xf>
    <xf numFmtId="166" fontId="5" fillId="6" borderId="5" xfId="0" applyNumberFormat="1" applyFont="1" applyFill="1" applyBorder="1" applyAlignment="1">
      <alignment horizontal="center" vertical="center"/>
    </xf>
    <xf numFmtId="4" fontId="5" fillId="6" borderId="5" xfId="0" applyNumberFormat="1" applyFont="1" applyFill="1" applyBorder="1" applyAlignment="1">
      <alignment vertical="center"/>
    </xf>
    <xf numFmtId="4" fontId="6" fillId="2" borderId="0" xfId="0" applyNumberFormat="1" applyFont="1" applyFill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 wrapText="1"/>
    </xf>
    <xf numFmtId="43" fontId="10" fillId="0" borderId="5" xfId="1" applyFont="1" applyBorder="1" applyAlignment="1">
      <alignment horizontal="left" vertical="center" wrapText="1" indent="1"/>
    </xf>
    <xf numFmtId="166" fontId="6" fillId="2" borderId="0" xfId="0" applyNumberFormat="1" applyFont="1" applyFill="1" applyAlignment="1">
      <alignment horizontal="center" vertical="center"/>
    </xf>
    <xf numFmtId="4" fontId="6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166" fontId="10" fillId="0" borderId="4" xfId="0" applyNumberFormat="1" applyFont="1" applyBorder="1" applyAlignment="1">
      <alignment horizontal="center" vertical="center" wrapText="1"/>
    </xf>
    <xf numFmtId="43" fontId="10" fillId="0" borderId="4" xfId="1" applyFont="1" applyBorder="1" applyAlignment="1">
      <alignment horizontal="left" vertical="center" wrapText="1" indent="1"/>
    </xf>
    <xf numFmtId="166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left" vertical="center" wrapText="1" indent="1"/>
    </xf>
    <xf numFmtId="43" fontId="10" fillId="0" borderId="0" xfId="1" applyFont="1" applyFill="1" applyBorder="1" applyAlignment="1">
      <alignment horizontal="left" vertical="center" wrapText="1" indent="1"/>
    </xf>
    <xf numFmtId="164" fontId="12" fillId="0" borderId="0" xfId="0" applyNumberFormat="1" applyFont="1" applyAlignment="1">
      <alignment vertical="center"/>
    </xf>
    <xf numFmtId="0" fontId="11" fillId="0" borderId="0" xfId="0" applyFont="1"/>
    <xf numFmtId="164" fontId="13" fillId="0" borderId="0" xfId="2" applyNumberFormat="1" applyFont="1" applyAlignment="1">
      <alignment vertical="center"/>
    </xf>
    <xf numFmtId="164" fontId="13" fillId="0" borderId="0" xfId="2" applyNumberFormat="1" applyFont="1" applyAlignment="1">
      <alignment horizontal="center" vertical="center"/>
    </xf>
    <xf numFmtId="164" fontId="13" fillId="2" borderId="0" xfId="2" applyNumberFormat="1" applyFont="1" applyFill="1" applyAlignment="1">
      <alignment vertical="center"/>
    </xf>
    <xf numFmtId="164" fontId="13" fillId="2" borderId="0" xfId="2" applyNumberFormat="1" applyFont="1" applyFill="1" applyAlignment="1">
      <alignment horizontal="center" vertical="center"/>
    </xf>
    <xf numFmtId="164" fontId="13" fillId="2" borderId="0" xfId="2" applyNumberFormat="1" applyFont="1" applyFill="1" applyAlignment="1" applyProtection="1">
      <alignment vertical="center"/>
      <protection locked="0"/>
    </xf>
    <xf numFmtId="43" fontId="13" fillId="2" borderId="0" xfId="1" applyFont="1" applyFill="1" applyAlignment="1" applyProtection="1">
      <alignment vertical="center"/>
      <protection locked="0"/>
    </xf>
    <xf numFmtId="164" fontId="13" fillId="2" borderId="0" xfId="2" applyNumberFormat="1" applyFont="1" applyFill="1" applyAlignment="1" applyProtection="1">
      <alignment horizontal="center" vertical="center"/>
      <protection locked="0"/>
    </xf>
    <xf numFmtId="164" fontId="13" fillId="0" borderId="0" xfId="2" applyNumberFormat="1" applyFont="1" applyAlignment="1" applyProtection="1">
      <alignment vertical="center"/>
    </xf>
    <xf numFmtId="164" fontId="13" fillId="0" borderId="0" xfId="2" applyNumberFormat="1" applyFont="1" applyAlignment="1" applyProtection="1">
      <alignment horizontal="center" vertical="center"/>
    </xf>
    <xf numFmtId="0" fontId="13" fillId="0" borderId="0" xfId="0" applyFont="1"/>
    <xf numFmtId="164" fontId="13" fillId="0" borderId="0" xfId="0" applyNumberFormat="1" applyFont="1" applyAlignment="1">
      <alignment vertical="center"/>
    </xf>
    <xf numFmtId="165" fontId="13" fillId="0" borderId="0" xfId="0" applyNumberFormat="1" applyFont="1" applyAlignment="1" applyProtection="1">
      <alignment horizontal="left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164" fontId="13" fillId="4" borderId="6" xfId="0" applyNumberFormat="1" applyFont="1" applyFill="1" applyBorder="1" applyAlignment="1">
      <alignment horizontal="center" vertical="center" wrapText="1"/>
    </xf>
    <xf numFmtId="3" fontId="13" fillId="3" borderId="6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/>
    <xf numFmtId="0" fontId="13" fillId="3" borderId="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167" fontId="13" fillId="3" borderId="2" xfId="0" applyNumberFormat="1" applyFont="1" applyFill="1" applyBorder="1" applyAlignment="1">
      <alignment horizontal="left"/>
    </xf>
    <xf numFmtId="4" fontId="13" fillId="3" borderId="2" xfId="0" applyNumberFormat="1" applyFont="1" applyFill="1" applyBorder="1" applyAlignment="1">
      <alignment horizontal="right" vertical="center" wrapText="1"/>
    </xf>
    <xf numFmtId="3" fontId="13" fillId="3" borderId="2" xfId="0" applyNumberFormat="1" applyFont="1" applyFill="1" applyBorder="1" applyAlignment="1">
      <alignment horizontal="center" vertical="center" textRotation="90" wrapText="1"/>
    </xf>
    <xf numFmtId="3" fontId="13" fillId="3" borderId="2" xfId="0" applyNumberFormat="1" applyFont="1" applyFill="1" applyBorder="1" applyAlignment="1">
      <alignment vertical="center" textRotation="90" wrapText="1"/>
    </xf>
    <xf numFmtId="166" fontId="13" fillId="5" borderId="5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/>
    </xf>
    <xf numFmtId="167" fontId="13" fillId="5" borderId="5" xfId="0" applyNumberFormat="1" applyFont="1" applyFill="1" applyBorder="1" applyAlignment="1">
      <alignment horizontal="left" vertical="center"/>
    </xf>
    <xf numFmtId="166" fontId="13" fillId="5" borderId="5" xfId="0" applyNumberFormat="1" applyFont="1" applyFill="1" applyBorder="1" applyAlignment="1">
      <alignment vertical="center" wrapText="1"/>
    </xf>
    <xf numFmtId="4" fontId="13" fillId="5" borderId="5" xfId="0" applyNumberFormat="1" applyFont="1" applyFill="1" applyBorder="1" applyAlignment="1">
      <alignment horizontal="right" vertical="center"/>
    </xf>
    <xf numFmtId="4" fontId="13" fillId="5" borderId="5" xfId="0" applyNumberFormat="1" applyFont="1" applyFill="1" applyBorder="1" applyAlignment="1">
      <alignment horizontal="center" vertical="center"/>
    </xf>
    <xf numFmtId="168" fontId="13" fillId="5" borderId="5" xfId="0" applyNumberFormat="1" applyFont="1" applyFill="1" applyBorder="1" applyAlignment="1">
      <alignment horizontal="center" vertical="center"/>
    </xf>
    <xf numFmtId="168" fontId="13" fillId="5" borderId="5" xfId="0" applyNumberFormat="1" applyFont="1" applyFill="1" applyBorder="1" applyAlignment="1">
      <alignment vertical="center"/>
    </xf>
    <xf numFmtId="166" fontId="13" fillId="6" borderId="5" xfId="0" applyNumberFormat="1" applyFont="1" applyFill="1" applyBorder="1" applyAlignment="1">
      <alignment horizontal="center" vertical="center"/>
    </xf>
    <xf numFmtId="167" fontId="13" fillId="6" borderId="5" xfId="0" applyNumberFormat="1" applyFont="1" applyFill="1" applyBorder="1" applyAlignment="1">
      <alignment horizontal="center" vertical="center"/>
    </xf>
    <xf numFmtId="166" fontId="13" fillId="6" borderId="5" xfId="0" applyNumberFormat="1" applyFont="1" applyFill="1" applyBorder="1" applyAlignment="1">
      <alignment vertical="center" wrapText="1"/>
    </xf>
    <xf numFmtId="4" fontId="13" fillId="6" borderId="5" xfId="0" applyNumberFormat="1" applyFont="1" applyFill="1" applyBorder="1" applyAlignment="1">
      <alignment horizontal="right" vertical="center"/>
    </xf>
    <xf numFmtId="4" fontId="13" fillId="6" borderId="5" xfId="0" applyNumberFormat="1" applyFont="1" applyFill="1" applyBorder="1" applyAlignment="1">
      <alignment horizontal="center" vertical="center"/>
    </xf>
    <xf numFmtId="168" fontId="13" fillId="6" borderId="5" xfId="0" applyNumberFormat="1" applyFont="1" applyFill="1" applyBorder="1" applyAlignment="1">
      <alignment horizontal="center" vertical="center"/>
    </xf>
    <xf numFmtId="168" fontId="13" fillId="6" borderId="5" xfId="0" applyNumberFormat="1" applyFont="1" applyFill="1" applyBorder="1" applyAlignment="1">
      <alignment vertical="center"/>
    </xf>
    <xf numFmtId="166" fontId="13" fillId="7" borderId="5" xfId="0" applyNumberFormat="1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/>
    </xf>
    <xf numFmtId="169" fontId="13" fillId="7" borderId="5" xfId="0" applyNumberFormat="1" applyFont="1" applyFill="1" applyBorder="1" applyAlignment="1">
      <alignment horizontal="center" vertical="center"/>
    </xf>
    <xf numFmtId="166" fontId="13" fillId="7" borderId="5" xfId="0" applyNumberFormat="1" applyFont="1" applyFill="1" applyBorder="1" applyAlignment="1">
      <alignment vertical="center" wrapText="1"/>
    </xf>
    <xf numFmtId="4" fontId="13" fillId="7" borderId="5" xfId="0" applyNumberFormat="1" applyFont="1" applyFill="1" applyBorder="1" applyAlignment="1">
      <alignment horizontal="right" vertical="center"/>
    </xf>
    <xf numFmtId="4" fontId="13" fillId="7" borderId="5" xfId="0" applyNumberFormat="1" applyFont="1" applyFill="1" applyBorder="1" applyAlignment="1">
      <alignment horizontal="center" vertical="center"/>
    </xf>
    <xf numFmtId="168" fontId="13" fillId="7" borderId="5" xfId="0" applyNumberFormat="1" applyFont="1" applyFill="1" applyBorder="1" applyAlignment="1">
      <alignment horizontal="center" vertical="center"/>
    </xf>
    <xf numFmtId="168" fontId="13" fillId="7" borderId="5" xfId="0" applyNumberFormat="1" applyFont="1" applyFill="1" applyBorder="1" applyAlignment="1">
      <alignment vertical="center"/>
    </xf>
    <xf numFmtId="166" fontId="13" fillId="8" borderId="5" xfId="0" applyNumberFormat="1" applyFont="1" applyFill="1" applyBorder="1" applyAlignment="1">
      <alignment horizontal="center" vertical="center"/>
    </xf>
    <xf numFmtId="169" fontId="13" fillId="8" borderId="5" xfId="0" applyNumberFormat="1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vertical="center" wrapText="1"/>
    </xf>
    <xf numFmtId="4" fontId="13" fillId="8" borderId="5" xfId="0" applyNumberFormat="1" applyFont="1" applyFill="1" applyBorder="1" applyAlignment="1">
      <alignment horizontal="right" vertical="center"/>
    </xf>
    <xf numFmtId="4" fontId="13" fillId="8" borderId="5" xfId="0" applyNumberFormat="1" applyFont="1" applyFill="1" applyBorder="1" applyAlignment="1">
      <alignment horizontal="center" vertical="center"/>
    </xf>
    <xf numFmtId="168" fontId="13" fillId="8" borderId="5" xfId="0" applyNumberFormat="1" applyFont="1" applyFill="1" applyBorder="1" applyAlignment="1">
      <alignment horizontal="center" vertical="center"/>
    </xf>
    <xf numFmtId="168" fontId="13" fillId="8" borderId="5" xfId="0" applyNumberFormat="1" applyFont="1" applyFill="1" applyBorder="1" applyAlignment="1">
      <alignment vertical="center"/>
    </xf>
    <xf numFmtId="166" fontId="13" fillId="9" borderId="5" xfId="0" applyNumberFormat="1" applyFont="1" applyFill="1" applyBorder="1" applyAlignment="1">
      <alignment horizontal="center" vertical="center"/>
    </xf>
    <xf numFmtId="169" fontId="13" fillId="9" borderId="5" xfId="0" applyNumberFormat="1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vertical="center" wrapText="1"/>
    </xf>
    <xf numFmtId="4" fontId="13" fillId="9" borderId="5" xfId="0" applyNumberFormat="1" applyFont="1" applyFill="1" applyBorder="1" applyAlignment="1">
      <alignment horizontal="right" vertical="center"/>
    </xf>
    <xf numFmtId="4" fontId="13" fillId="9" borderId="5" xfId="0" applyNumberFormat="1" applyFont="1" applyFill="1" applyBorder="1" applyAlignment="1">
      <alignment horizontal="center" vertical="center"/>
    </xf>
    <xf numFmtId="168" fontId="13" fillId="9" borderId="5" xfId="0" applyNumberFormat="1" applyFont="1" applyFill="1" applyBorder="1" applyAlignment="1">
      <alignment horizontal="center" vertical="center"/>
    </xf>
    <xf numFmtId="168" fontId="13" fillId="9" borderId="5" xfId="0" applyNumberFormat="1" applyFont="1" applyFill="1" applyBorder="1" applyAlignment="1">
      <alignment vertical="center"/>
    </xf>
    <xf numFmtId="166" fontId="13" fillId="10" borderId="5" xfId="0" applyNumberFormat="1" applyFont="1" applyFill="1" applyBorder="1" applyAlignment="1">
      <alignment horizontal="center" vertical="center"/>
    </xf>
    <xf numFmtId="169" fontId="13" fillId="10" borderId="5" xfId="0" applyNumberFormat="1" applyFont="1" applyFill="1" applyBorder="1" applyAlignment="1">
      <alignment horizontal="center" vertical="center"/>
    </xf>
    <xf numFmtId="4" fontId="13" fillId="10" borderId="5" xfId="0" applyNumberFormat="1" applyFont="1" applyFill="1" applyBorder="1" applyAlignment="1">
      <alignment horizontal="right" vertical="center"/>
    </xf>
    <xf numFmtId="4" fontId="13" fillId="10" borderId="5" xfId="0" applyNumberFormat="1" applyFont="1" applyFill="1" applyBorder="1" applyAlignment="1">
      <alignment horizontal="center" vertical="center"/>
    </xf>
    <xf numFmtId="168" fontId="13" fillId="10" borderId="5" xfId="0" applyNumberFormat="1" applyFont="1" applyFill="1" applyBorder="1" applyAlignment="1">
      <alignment horizontal="center" vertical="center"/>
    </xf>
    <xf numFmtId="168" fontId="13" fillId="10" borderId="5" xfId="0" applyNumberFormat="1" applyFont="1" applyFill="1" applyBorder="1" applyAlignment="1">
      <alignment vertical="center"/>
    </xf>
    <xf numFmtId="166" fontId="13" fillId="0" borderId="5" xfId="0" applyNumberFormat="1" applyFont="1" applyBorder="1" applyAlignment="1">
      <alignment horizontal="center" vertical="center"/>
    </xf>
    <xf numFmtId="169" fontId="14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 wrapText="1"/>
    </xf>
    <xf numFmtId="4" fontId="11" fillId="0" borderId="5" xfId="0" applyNumberFormat="1" applyFont="1" applyBorder="1" applyAlignment="1">
      <alignment horizontal="right" vertical="center"/>
    </xf>
    <xf numFmtId="4" fontId="13" fillId="0" borderId="5" xfId="0" applyNumberFormat="1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justify" vertical="center" wrapText="1"/>
    </xf>
    <xf numFmtId="0" fontId="13" fillId="8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41" fontId="13" fillId="8" borderId="5" xfId="0" applyNumberFormat="1" applyFont="1" applyFill="1" applyBorder="1" applyAlignment="1">
      <alignment horizontal="center" vertical="center"/>
    </xf>
    <xf numFmtId="41" fontId="13" fillId="8" borderId="5" xfId="0" applyNumberFormat="1" applyFont="1" applyFill="1" applyBorder="1" applyAlignment="1">
      <alignment vertical="center"/>
    </xf>
    <xf numFmtId="4" fontId="12" fillId="0" borderId="5" xfId="0" applyNumberFormat="1" applyFont="1" applyBorder="1" applyAlignment="1">
      <alignment horizontal="center" vertical="center"/>
    </xf>
    <xf numFmtId="0" fontId="13" fillId="9" borderId="5" xfId="0" applyFont="1" applyFill="1" applyBorder="1" applyAlignment="1">
      <alignment horizontal="justify" vertical="center" wrapText="1"/>
    </xf>
    <xf numFmtId="0" fontId="13" fillId="10" borderId="7" xfId="0" applyFont="1" applyFill="1" applyBorder="1" applyAlignment="1">
      <alignment horizontal="justify" vertical="center" wrapText="1"/>
    </xf>
    <xf numFmtId="0" fontId="13" fillId="9" borderId="7" xfId="0" applyFont="1" applyFill="1" applyBorder="1" applyAlignment="1">
      <alignment horizontal="justify" vertical="center" wrapText="1"/>
    </xf>
    <xf numFmtId="4" fontId="13" fillId="7" borderId="5" xfId="0" applyNumberFormat="1" applyFont="1" applyFill="1" applyBorder="1" applyAlignment="1">
      <alignment vertical="center"/>
    </xf>
    <xf numFmtId="0" fontId="13" fillId="7" borderId="5" xfId="0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vertical="center" wrapText="1"/>
    </xf>
    <xf numFmtId="41" fontId="13" fillId="9" borderId="5" xfId="0" applyNumberFormat="1" applyFont="1" applyFill="1" applyBorder="1" applyAlignment="1">
      <alignment horizontal="center" vertical="center"/>
    </xf>
    <xf numFmtId="41" fontId="13" fillId="9" borderId="5" xfId="0" applyNumberFormat="1" applyFont="1" applyFill="1" applyBorder="1" applyAlignment="1">
      <alignment vertical="center"/>
    </xf>
    <xf numFmtId="41" fontId="13" fillId="10" borderId="5" xfId="0" applyNumberFormat="1" applyFont="1" applyFill="1" applyBorder="1" applyAlignment="1">
      <alignment horizontal="center" vertical="center"/>
    </xf>
    <xf numFmtId="41" fontId="13" fillId="10" borderId="5" xfId="0" applyNumberFormat="1" applyFont="1" applyFill="1" applyBorder="1" applyAlignment="1">
      <alignment vertical="center"/>
    </xf>
    <xf numFmtId="4" fontId="13" fillId="9" borderId="5" xfId="0" applyNumberFormat="1" applyFont="1" applyFill="1" applyBorder="1" applyAlignment="1">
      <alignment horizontal="right"/>
    </xf>
    <xf numFmtId="0" fontId="13" fillId="9" borderId="5" xfId="0" applyFont="1" applyFill="1" applyBorder="1" applyAlignment="1">
      <alignment horizontal="center"/>
    </xf>
    <xf numFmtId="4" fontId="13" fillId="2" borderId="5" xfId="0" applyNumberFormat="1" applyFont="1" applyFill="1" applyBorder="1" applyAlignment="1">
      <alignment horizontal="center" vertical="center"/>
    </xf>
    <xf numFmtId="4" fontId="13" fillId="0" borderId="5" xfId="0" applyNumberFormat="1" applyFont="1" applyBorder="1" applyAlignment="1">
      <alignment horizontal="center" vertical="center" wrapText="1"/>
    </xf>
    <xf numFmtId="4" fontId="13" fillId="0" borderId="0" xfId="0" applyNumberFormat="1" applyFont="1" applyAlignment="1">
      <alignment vertical="center"/>
    </xf>
    <xf numFmtId="168" fontId="13" fillId="0" borderId="0" xfId="1" applyNumberFormat="1" applyFont="1" applyFill="1" applyBorder="1" applyAlignment="1">
      <alignment vertical="center"/>
    </xf>
    <xf numFmtId="0" fontId="16" fillId="0" borderId="0" xfId="0" applyFont="1"/>
    <xf numFmtId="0" fontId="17" fillId="0" borderId="0" xfId="0" applyFont="1"/>
    <xf numFmtId="4" fontId="11" fillId="0" borderId="0" xfId="0" applyNumberFormat="1" applyFont="1" applyAlignment="1" applyProtection="1">
      <alignment vertical="center"/>
      <protection locked="0"/>
    </xf>
    <xf numFmtId="4" fontId="11" fillId="0" borderId="0" xfId="0" applyNumberFormat="1" applyFont="1" applyAlignment="1">
      <alignment vertical="center"/>
    </xf>
    <xf numFmtId="168" fontId="11" fillId="0" borderId="0" xfId="1" applyNumberFormat="1" applyFont="1" applyFill="1" applyBorder="1" applyAlignment="1">
      <alignment vertical="center"/>
    </xf>
    <xf numFmtId="168" fontId="11" fillId="0" borderId="0" xfId="1" applyNumberFormat="1" applyFont="1" applyFill="1" applyBorder="1" applyAlignment="1" applyProtection="1">
      <alignment vertical="center"/>
      <protection locked="0"/>
    </xf>
    <xf numFmtId="168" fontId="13" fillId="9" borderId="7" xfId="0" applyNumberFormat="1" applyFont="1" applyFill="1" applyBorder="1" applyAlignment="1">
      <alignment vertical="center"/>
    </xf>
    <xf numFmtId="168" fontId="13" fillId="10" borderId="5" xfId="0" applyNumberFormat="1" applyFont="1" applyFill="1" applyBorder="1" applyAlignment="1">
      <alignment horizontal="right" vertical="center"/>
    </xf>
    <xf numFmtId="4" fontId="13" fillId="9" borderId="5" xfId="0" applyNumberFormat="1" applyFont="1" applyFill="1" applyBorder="1" applyAlignment="1">
      <alignment horizontal="right" vertical="center" wrapText="1"/>
    </xf>
    <xf numFmtId="4" fontId="13" fillId="9" borderId="5" xfId="0" applyNumberFormat="1" applyFont="1" applyFill="1" applyBorder="1" applyAlignment="1">
      <alignment vertical="center"/>
    </xf>
    <xf numFmtId="168" fontId="13" fillId="10" borderId="7" xfId="0" applyNumberFormat="1" applyFont="1" applyFill="1" applyBorder="1" applyAlignment="1">
      <alignment vertical="center"/>
    </xf>
    <xf numFmtId="3" fontId="11" fillId="0" borderId="7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justify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7" fontId="13" fillId="5" borderId="5" xfId="0" applyNumberFormat="1" applyFont="1" applyFill="1" applyBorder="1" applyAlignment="1">
      <alignment horizontal="center" vertical="center"/>
    </xf>
    <xf numFmtId="167" fontId="13" fillId="7" borderId="5" xfId="0" applyNumberFormat="1" applyFont="1" applyFill="1" applyBorder="1" applyAlignment="1">
      <alignment horizontal="center" vertical="center"/>
    </xf>
    <xf numFmtId="167" fontId="13" fillId="8" borderId="5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7" fontId="13" fillId="10" borderId="5" xfId="0" applyNumberFormat="1" applyFont="1" applyFill="1" applyBorder="1" applyAlignment="1">
      <alignment horizontal="center" vertical="center"/>
    </xf>
    <xf numFmtId="167" fontId="13" fillId="0" borderId="5" xfId="0" applyNumberFormat="1" applyFont="1" applyBorder="1" applyAlignment="1">
      <alignment horizontal="center" vertical="center"/>
    </xf>
    <xf numFmtId="166" fontId="13" fillId="5" borderId="8" xfId="0" applyNumberFormat="1" applyFont="1" applyFill="1" applyBorder="1" applyAlignment="1">
      <alignment horizontal="center" vertical="center"/>
    </xf>
    <xf numFmtId="166" fontId="13" fillId="6" borderId="8" xfId="0" applyNumberFormat="1" applyFont="1" applyFill="1" applyBorder="1" applyAlignment="1">
      <alignment horizontal="center" vertical="center"/>
    </xf>
    <xf numFmtId="166" fontId="13" fillId="7" borderId="8" xfId="0" applyNumberFormat="1" applyFont="1" applyFill="1" applyBorder="1" applyAlignment="1">
      <alignment horizontal="center" vertical="center"/>
    </xf>
    <xf numFmtId="166" fontId="13" fillId="5" borderId="7" xfId="0" applyNumberFormat="1" applyFont="1" applyFill="1" applyBorder="1" applyAlignment="1">
      <alignment horizontal="center" vertical="center"/>
    </xf>
    <xf numFmtId="166" fontId="13" fillId="6" borderId="7" xfId="0" applyNumberFormat="1" applyFont="1" applyFill="1" applyBorder="1" applyAlignment="1">
      <alignment horizontal="center" vertical="center"/>
    </xf>
    <xf numFmtId="166" fontId="13" fillId="7" borderId="7" xfId="0" applyNumberFormat="1" applyFont="1" applyFill="1" applyBorder="1" applyAlignment="1">
      <alignment horizontal="center" vertical="center"/>
    </xf>
    <xf numFmtId="0" fontId="11" fillId="3" borderId="5" xfId="0" applyFont="1" applyFill="1" applyBorder="1"/>
    <xf numFmtId="164" fontId="13" fillId="2" borderId="0" xfId="2" applyNumberFormat="1" applyFont="1" applyFill="1" applyBorder="1" applyAlignment="1" applyProtection="1">
      <alignment vertical="center"/>
      <protection locked="0"/>
    </xf>
    <xf numFmtId="166" fontId="14" fillId="6" borderId="5" xfId="0" applyNumberFormat="1" applyFont="1" applyFill="1" applyBorder="1" applyAlignment="1">
      <alignment horizontal="center" vertical="center"/>
    </xf>
    <xf numFmtId="167" fontId="14" fillId="6" borderId="5" xfId="0" applyNumberFormat="1" applyFont="1" applyFill="1" applyBorder="1" applyAlignment="1">
      <alignment horizontal="center" vertical="center"/>
    </xf>
    <xf numFmtId="166" fontId="14" fillId="5" borderId="5" xfId="0" applyNumberFormat="1" applyFont="1" applyFill="1" applyBorder="1" applyAlignment="1">
      <alignment horizontal="center" vertical="center"/>
    </xf>
    <xf numFmtId="167" fontId="14" fillId="5" borderId="5" xfId="0" applyNumberFormat="1" applyFont="1" applyFill="1" applyBorder="1" applyAlignment="1">
      <alignment horizontal="center" vertical="center"/>
    </xf>
    <xf numFmtId="166" fontId="14" fillId="7" borderId="5" xfId="0" applyNumberFormat="1" applyFont="1" applyFill="1" applyBorder="1" applyAlignment="1">
      <alignment horizontal="center" vertical="center"/>
    </xf>
    <xf numFmtId="167" fontId="14" fillId="7" borderId="5" xfId="0" applyNumberFormat="1" applyFont="1" applyFill="1" applyBorder="1" applyAlignment="1">
      <alignment horizontal="center" vertical="center"/>
    </xf>
    <xf numFmtId="4" fontId="5" fillId="6" borderId="5" xfId="0" applyNumberFormat="1" applyFont="1" applyFill="1" applyBorder="1" applyAlignment="1">
      <alignment vertical="center" wrapText="1"/>
    </xf>
    <xf numFmtId="167" fontId="5" fillId="5" borderId="5" xfId="0" quotePrefix="1" applyNumberFormat="1" applyFont="1" applyFill="1" applyBorder="1" applyAlignment="1">
      <alignment horizontal="center" vertical="center"/>
    </xf>
    <xf numFmtId="167" fontId="5" fillId="6" borderId="5" xfId="0" applyNumberFormat="1" applyFont="1" applyFill="1" applyBorder="1" applyAlignment="1">
      <alignment horizontal="center" vertical="center"/>
    </xf>
    <xf numFmtId="167" fontId="10" fillId="0" borderId="5" xfId="0" applyNumberFormat="1" applyFont="1" applyBorder="1" applyAlignment="1">
      <alignment horizontal="center" vertical="center" wrapText="1"/>
    </xf>
    <xf numFmtId="167" fontId="10" fillId="0" borderId="4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44" fontId="9" fillId="0" borderId="0" xfId="0" applyNumberFormat="1" applyFont="1"/>
    <xf numFmtId="44" fontId="20" fillId="0" borderId="0" xfId="0" applyNumberFormat="1" applyFont="1"/>
    <xf numFmtId="44" fontId="11" fillId="0" borderId="0" xfId="0" applyNumberFormat="1" applyFont="1"/>
    <xf numFmtId="44" fontId="11" fillId="0" borderId="0" xfId="3" applyFont="1"/>
    <xf numFmtId="44" fontId="21" fillId="0" borderId="0" xfId="0" applyNumberFormat="1" applyFont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textRotation="90"/>
    </xf>
    <xf numFmtId="0" fontId="6" fillId="3" borderId="4" xfId="0" applyFont="1" applyFill="1" applyBorder="1" applyAlignment="1">
      <alignment horizontal="center" textRotation="90"/>
    </xf>
    <xf numFmtId="0" fontId="6" fillId="3" borderId="2" xfId="0" applyFont="1" applyFill="1" applyBorder="1" applyAlignment="1">
      <alignment horizontal="center" textRotation="90" wrapText="1"/>
    </xf>
    <xf numFmtId="0" fontId="6" fillId="3" borderId="4" xfId="0" applyFont="1" applyFill="1" applyBorder="1" applyAlignment="1">
      <alignment horizontal="center" textRotation="90" wrapText="1"/>
    </xf>
    <xf numFmtId="3" fontId="13" fillId="3" borderId="2" xfId="0" applyNumberFormat="1" applyFont="1" applyFill="1" applyBorder="1" applyAlignment="1">
      <alignment horizontal="center" textRotation="90" wrapText="1"/>
    </xf>
    <xf numFmtId="3" fontId="13" fillId="3" borderId="4" xfId="0" applyNumberFormat="1" applyFont="1" applyFill="1" applyBorder="1" applyAlignment="1">
      <alignment horizontal="center" textRotation="90" wrapText="1"/>
    </xf>
    <xf numFmtId="164" fontId="13" fillId="3" borderId="2" xfId="0" applyNumberFormat="1" applyFont="1" applyFill="1" applyBorder="1" applyAlignment="1">
      <alignment horizontal="center" textRotation="90" wrapText="1"/>
    </xf>
    <xf numFmtId="164" fontId="13" fillId="3" borderId="4" xfId="0" applyNumberFormat="1" applyFont="1" applyFill="1" applyBorder="1" applyAlignment="1">
      <alignment horizontal="center" textRotation="90" wrapText="1"/>
    </xf>
    <xf numFmtId="165" fontId="13" fillId="0" borderId="1" xfId="0" applyNumberFormat="1" applyFont="1" applyBorder="1" applyAlignment="1" applyProtection="1">
      <alignment horizontal="left" vertical="center"/>
      <protection locked="0"/>
    </xf>
    <xf numFmtId="0" fontId="13" fillId="3" borderId="2" xfId="0" applyFont="1" applyFill="1" applyBorder="1" applyAlignment="1">
      <alignment horizontal="center" textRotation="90" wrapText="1"/>
    </xf>
    <xf numFmtId="0" fontId="13" fillId="3" borderId="4" xfId="0" applyFont="1" applyFill="1" applyBorder="1" applyAlignment="1">
      <alignment horizontal="center" textRotation="90" wrapText="1"/>
    </xf>
    <xf numFmtId="0" fontId="13" fillId="0" borderId="0" xfId="0" applyFont="1" applyAlignment="1">
      <alignment horizontal="center"/>
    </xf>
    <xf numFmtId="0" fontId="13" fillId="3" borderId="9" xfId="0" applyFont="1" applyFill="1" applyBorder="1" applyAlignment="1">
      <alignment horizontal="center" textRotation="90" wrapText="1"/>
    </xf>
    <xf numFmtId="0" fontId="13" fillId="3" borderId="10" xfId="0" applyFont="1" applyFill="1" applyBorder="1" applyAlignment="1">
      <alignment horizontal="center" textRotation="90" wrapText="1"/>
    </xf>
    <xf numFmtId="0" fontId="13" fillId="3" borderId="11" xfId="0" applyFont="1" applyFill="1" applyBorder="1" applyAlignment="1">
      <alignment horizontal="center" textRotation="90" wrapText="1"/>
    </xf>
    <xf numFmtId="0" fontId="13" fillId="3" borderId="12" xfId="0" applyFont="1" applyFill="1" applyBorder="1" applyAlignment="1">
      <alignment horizontal="center" textRotation="90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</cellXfs>
  <cellStyles count="4">
    <cellStyle name="Millares" xfId="1" builtinId="3"/>
    <cellStyle name="Millares 2 10" xfId="2" xr:uid="{DB34349B-DC24-482B-BF5F-72896A3A158F}"/>
    <cellStyle name="Moneda" xfId="3" builtinId="4"/>
    <cellStyle name="Normal" xfId="0" builtinId="0"/>
  </cellStyles>
  <dxfs count="2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LDO%20CERO%20ENERO-DIC%202016\11-NOV\FASP%202015%20NOV%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spcgob-my.sharepoint.com/Users/dasanchez/AppData/Local/Microsoft/Windows/Temporary%20Internet%20Files/Content.Outlook/JZKSLYX7/PLANTILLA%20SSYE%202018%20Eredi%20-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Hoja6"/>
      <sheetName val="Hoja7"/>
      <sheetName val="Hoja1"/>
      <sheetName val="PROG 2 PART 511"/>
      <sheetName val="PROGRAMA 3 PART 511"/>
      <sheetName val="2015 ESTRUCTURA"/>
      <sheetName val="CESP"/>
      <sheetName val="Hoja2"/>
      <sheetName val="2015 "/>
      <sheetName val="SSP "/>
      <sheetName val="EVALUACIONES"/>
      <sheetName val="FGE"/>
      <sheetName val="HTSJ"/>
      <sheetName val="JULIO 16 "/>
      <sheetName val="JUNIO 16 "/>
      <sheetName val="MAYO 16"/>
      <sheetName val="ABRIL 16"/>
      <sheetName val="MARZ 16"/>
      <sheetName val="FEB 16"/>
      <sheetName val="ENERO 16"/>
      <sheetName val="DIC 15"/>
      <sheetName val="NOV 15"/>
      <sheetName val="OCT 15"/>
      <sheetName val="SEP 15"/>
      <sheetName val="AGTO 15"/>
      <sheetName val="JUL 15"/>
      <sheetName val="JUN 15"/>
      <sheetName val="MAYO 15"/>
      <sheetName val="ABRIL 15"/>
      <sheetName val="Hoja4"/>
      <sheetName val="Hoja3"/>
      <sheetName val="Hoja8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>
        <row r="56">
          <cell r="N56">
            <v>175273606.25</v>
          </cell>
        </row>
        <row r="57">
          <cell r="N57">
            <v>200000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200000</v>
          </cell>
        </row>
        <row r="63">
          <cell r="N63">
            <v>200000</v>
          </cell>
        </row>
        <row r="64">
          <cell r="N64">
            <v>200000</v>
          </cell>
        </row>
        <row r="65">
          <cell r="N65">
            <v>200000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  <row r="117">
          <cell r="N117">
            <v>0</v>
          </cell>
        </row>
        <row r="118">
          <cell r="N118">
            <v>0</v>
          </cell>
        </row>
        <row r="119">
          <cell r="N119">
            <v>0</v>
          </cell>
        </row>
        <row r="120">
          <cell r="N120">
            <v>0</v>
          </cell>
        </row>
        <row r="121">
          <cell r="N121">
            <v>0</v>
          </cell>
        </row>
        <row r="122">
          <cell r="N122">
            <v>0</v>
          </cell>
        </row>
        <row r="123">
          <cell r="N123">
            <v>0</v>
          </cell>
        </row>
        <row r="124">
          <cell r="N124">
            <v>0</v>
          </cell>
        </row>
        <row r="125">
          <cell r="N125">
            <v>0</v>
          </cell>
        </row>
        <row r="126">
          <cell r="N126">
            <v>0</v>
          </cell>
        </row>
        <row r="127">
          <cell r="N127">
            <v>0</v>
          </cell>
        </row>
        <row r="128">
          <cell r="N128">
            <v>0</v>
          </cell>
        </row>
        <row r="129">
          <cell r="N129">
            <v>0</v>
          </cell>
        </row>
        <row r="130">
          <cell r="N130">
            <v>0</v>
          </cell>
        </row>
        <row r="131">
          <cell r="N131">
            <v>12271691.5</v>
          </cell>
        </row>
        <row r="132">
          <cell r="N132">
            <v>2053307.8599999999</v>
          </cell>
        </row>
        <row r="133">
          <cell r="N133">
            <v>2053307.8599999999</v>
          </cell>
        </row>
        <row r="134">
          <cell r="N134">
            <v>2053307.8599999999</v>
          </cell>
        </row>
        <row r="135">
          <cell r="N135">
            <v>2053307.8599999999</v>
          </cell>
        </row>
        <row r="136">
          <cell r="N136">
            <v>0</v>
          </cell>
        </row>
        <row r="137">
          <cell r="N137">
            <v>0</v>
          </cell>
        </row>
        <row r="138">
          <cell r="N138">
            <v>0</v>
          </cell>
        </row>
        <row r="139">
          <cell r="N139">
            <v>0</v>
          </cell>
        </row>
        <row r="140">
          <cell r="N140">
            <v>0</v>
          </cell>
        </row>
        <row r="141">
          <cell r="N141">
            <v>0</v>
          </cell>
        </row>
        <row r="142">
          <cell r="N142">
            <v>0</v>
          </cell>
        </row>
        <row r="143">
          <cell r="N143">
            <v>0</v>
          </cell>
        </row>
        <row r="144">
          <cell r="N144">
            <v>0</v>
          </cell>
        </row>
        <row r="145">
          <cell r="N145">
            <v>850000</v>
          </cell>
        </row>
        <row r="146">
          <cell r="N146">
            <v>380000</v>
          </cell>
        </row>
        <row r="147">
          <cell r="N147">
            <v>190000</v>
          </cell>
        </row>
        <row r="148">
          <cell r="N148">
            <v>190000</v>
          </cell>
        </row>
        <row r="149">
          <cell r="N149">
            <v>0</v>
          </cell>
        </row>
        <row r="150">
          <cell r="N150">
            <v>0</v>
          </cell>
        </row>
        <row r="151">
          <cell r="N151">
            <v>190000</v>
          </cell>
        </row>
        <row r="152">
          <cell r="N152">
            <v>190000</v>
          </cell>
        </row>
        <row r="153">
          <cell r="N153">
            <v>0</v>
          </cell>
        </row>
        <row r="154">
          <cell r="N154">
            <v>0</v>
          </cell>
        </row>
        <row r="155">
          <cell r="N155">
            <v>0</v>
          </cell>
        </row>
        <row r="156">
          <cell r="N156">
            <v>0</v>
          </cell>
        </row>
        <row r="157">
          <cell r="N157">
            <v>0</v>
          </cell>
        </row>
        <row r="158">
          <cell r="N158">
            <v>0</v>
          </cell>
        </row>
        <row r="159">
          <cell r="N159">
            <v>0</v>
          </cell>
        </row>
        <row r="160">
          <cell r="N160">
            <v>0</v>
          </cell>
        </row>
        <row r="161">
          <cell r="N161">
            <v>0</v>
          </cell>
        </row>
        <row r="162">
          <cell r="N162">
            <v>0</v>
          </cell>
        </row>
        <row r="163">
          <cell r="N163">
            <v>0</v>
          </cell>
        </row>
        <row r="164">
          <cell r="N164">
            <v>0</v>
          </cell>
        </row>
        <row r="165">
          <cell r="N165">
            <v>0</v>
          </cell>
        </row>
        <row r="166">
          <cell r="N166">
            <v>470000</v>
          </cell>
        </row>
        <row r="167">
          <cell r="N167">
            <v>470000</v>
          </cell>
        </row>
        <row r="168">
          <cell r="N168">
            <v>470000</v>
          </cell>
        </row>
        <row r="169">
          <cell r="N169">
            <v>0</v>
          </cell>
        </row>
        <row r="170">
          <cell r="N170">
            <v>0</v>
          </cell>
        </row>
        <row r="171">
          <cell r="N171">
            <v>0</v>
          </cell>
        </row>
        <row r="172">
          <cell r="N172">
            <v>0</v>
          </cell>
        </row>
        <row r="173">
          <cell r="N173">
            <v>0</v>
          </cell>
        </row>
        <row r="174">
          <cell r="N174">
            <v>0</v>
          </cell>
        </row>
        <row r="175">
          <cell r="N175">
            <v>0</v>
          </cell>
        </row>
        <row r="176">
          <cell r="N176">
            <v>0</v>
          </cell>
        </row>
        <row r="177">
          <cell r="N177">
            <v>0</v>
          </cell>
        </row>
        <row r="178">
          <cell r="N178">
            <v>0</v>
          </cell>
        </row>
        <row r="179">
          <cell r="N179">
            <v>0</v>
          </cell>
        </row>
        <row r="180">
          <cell r="N180">
            <v>0</v>
          </cell>
        </row>
        <row r="181">
          <cell r="N181">
            <v>6997695.5600000005</v>
          </cell>
        </row>
        <row r="182">
          <cell r="N182">
            <v>600000</v>
          </cell>
        </row>
        <row r="183">
          <cell r="N183">
            <v>600000</v>
          </cell>
        </row>
        <row r="184">
          <cell r="N184">
            <v>600000</v>
          </cell>
        </row>
        <row r="185">
          <cell r="N185">
            <v>0</v>
          </cell>
        </row>
        <row r="186">
          <cell r="N186">
            <v>0</v>
          </cell>
        </row>
        <row r="187">
          <cell r="N187">
            <v>5087695.5600000005</v>
          </cell>
        </row>
        <row r="188">
          <cell r="N188">
            <v>0</v>
          </cell>
        </row>
        <row r="189">
          <cell r="N189">
            <v>0</v>
          </cell>
        </row>
        <row r="190">
          <cell r="N190">
            <v>170000</v>
          </cell>
        </row>
        <row r="191">
          <cell r="N191">
            <v>170000</v>
          </cell>
        </row>
        <row r="192">
          <cell r="N192">
            <v>4917695.5600000005</v>
          </cell>
        </row>
        <row r="193">
          <cell r="N193">
            <v>4917695.5600000005</v>
          </cell>
        </row>
        <row r="194">
          <cell r="N194">
            <v>0</v>
          </cell>
        </row>
        <row r="195">
          <cell r="N195">
            <v>0</v>
          </cell>
        </row>
        <row r="196">
          <cell r="N196">
            <v>30000</v>
          </cell>
        </row>
        <row r="197">
          <cell r="N197">
            <v>30000</v>
          </cell>
        </row>
        <row r="198">
          <cell r="N198">
            <v>30000</v>
          </cell>
        </row>
        <row r="199">
          <cell r="N199">
            <v>400000</v>
          </cell>
        </row>
        <row r="200">
          <cell r="N200">
            <v>150000</v>
          </cell>
        </row>
        <row r="201">
          <cell r="N201">
            <v>150000</v>
          </cell>
        </row>
        <row r="202">
          <cell r="N202">
            <v>0</v>
          </cell>
        </row>
        <row r="203">
          <cell r="N203">
            <v>0</v>
          </cell>
        </row>
        <row r="204">
          <cell r="N204">
            <v>100000</v>
          </cell>
        </row>
        <row r="205">
          <cell r="N205">
            <v>100000</v>
          </cell>
        </row>
        <row r="206">
          <cell r="N206">
            <v>150000</v>
          </cell>
        </row>
        <row r="207">
          <cell r="N207">
            <v>150000</v>
          </cell>
        </row>
        <row r="208">
          <cell r="N208">
            <v>0</v>
          </cell>
        </row>
        <row r="209">
          <cell r="N209">
            <v>0</v>
          </cell>
        </row>
        <row r="210">
          <cell r="N210">
            <v>880000</v>
          </cell>
        </row>
        <row r="211">
          <cell r="N211">
            <v>490000</v>
          </cell>
        </row>
        <row r="212">
          <cell r="N212">
            <v>490000</v>
          </cell>
        </row>
        <row r="213">
          <cell r="N213">
            <v>0</v>
          </cell>
        </row>
        <row r="214">
          <cell r="N214">
            <v>0</v>
          </cell>
        </row>
        <row r="215">
          <cell r="N215">
            <v>390000</v>
          </cell>
        </row>
        <row r="216">
          <cell r="N216">
            <v>390000</v>
          </cell>
        </row>
        <row r="217">
          <cell r="N217">
            <v>940688.08</v>
          </cell>
        </row>
        <row r="218">
          <cell r="N218">
            <v>940688.08</v>
          </cell>
        </row>
        <row r="219">
          <cell r="N219">
            <v>131477.22</v>
          </cell>
        </row>
        <row r="220">
          <cell r="N220">
            <v>52302.080000000002</v>
          </cell>
        </row>
        <row r="221">
          <cell r="N221">
            <v>0</v>
          </cell>
        </row>
        <row r="222">
          <cell r="N222">
            <v>0</v>
          </cell>
        </row>
        <row r="223">
          <cell r="N223">
            <v>0</v>
          </cell>
        </row>
        <row r="224">
          <cell r="N224">
            <v>0</v>
          </cell>
        </row>
        <row r="225">
          <cell r="N225">
            <v>0</v>
          </cell>
        </row>
        <row r="226">
          <cell r="N226">
            <v>0</v>
          </cell>
        </row>
        <row r="227">
          <cell r="N227">
            <v>0</v>
          </cell>
        </row>
        <row r="228">
          <cell r="N228">
            <v>19436.03</v>
          </cell>
        </row>
        <row r="229">
          <cell r="N229">
            <v>0</v>
          </cell>
        </row>
        <row r="230">
          <cell r="N230">
            <v>0</v>
          </cell>
        </row>
        <row r="231">
          <cell r="N231">
            <v>0</v>
          </cell>
        </row>
        <row r="232">
          <cell r="N232">
            <v>0</v>
          </cell>
        </row>
        <row r="233">
          <cell r="N233">
            <v>0</v>
          </cell>
        </row>
        <row r="234">
          <cell r="N234">
            <v>0</v>
          </cell>
        </row>
        <row r="235">
          <cell r="N235">
            <v>34737.360000000001</v>
          </cell>
        </row>
        <row r="236">
          <cell r="N236">
            <v>0</v>
          </cell>
        </row>
        <row r="237">
          <cell r="N237">
            <v>25001.75</v>
          </cell>
        </row>
        <row r="238">
          <cell r="N238">
            <v>0</v>
          </cell>
        </row>
        <row r="239">
          <cell r="N239">
            <v>0</v>
          </cell>
        </row>
        <row r="240">
          <cell r="N240">
            <v>0</v>
          </cell>
        </row>
        <row r="241">
          <cell r="N241">
            <v>0</v>
          </cell>
        </row>
        <row r="242">
          <cell r="N242">
            <v>0</v>
          </cell>
        </row>
        <row r="243">
          <cell r="N243">
            <v>0</v>
          </cell>
        </row>
        <row r="244">
          <cell r="N244">
            <v>0</v>
          </cell>
        </row>
        <row r="245">
          <cell r="N245">
            <v>809210.86</v>
          </cell>
        </row>
        <row r="246">
          <cell r="N246">
            <v>0</v>
          </cell>
        </row>
        <row r="247">
          <cell r="N247">
            <v>0</v>
          </cell>
        </row>
        <row r="248">
          <cell r="N248">
            <v>704210.86</v>
          </cell>
        </row>
        <row r="249">
          <cell r="N249">
            <v>0</v>
          </cell>
        </row>
        <row r="250">
          <cell r="N250">
            <v>0</v>
          </cell>
        </row>
        <row r="251">
          <cell r="N251">
            <v>0</v>
          </cell>
        </row>
        <row r="252">
          <cell r="N252">
            <v>0</v>
          </cell>
        </row>
        <row r="253">
          <cell r="N253">
            <v>0</v>
          </cell>
        </row>
        <row r="254">
          <cell r="N254">
            <v>0</v>
          </cell>
        </row>
        <row r="255">
          <cell r="N255">
            <v>0</v>
          </cell>
        </row>
        <row r="256">
          <cell r="N256">
            <v>0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55000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50000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0</v>
          </cell>
        </row>
        <row r="272">
          <cell r="N272">
            <v>0</v>
          </cell>
        </row>
        <row r="273">
          <cell r="N273">
            <v>0</v>
          </cell>
        </row>
        <row r="274">
          <cell r="N274">
            <v>0</v>
          </cell>
        </row>
        <row r="275">
          <cell r="N275">
            <v>0</v>
          </cell>
        </row>
        <row r="276">
          <cell r="N276">
            <v>0</v>
          </cell>
        </row>
        <row r="277">
          <cell r="N277">
            <v>0</v>
          </cell>
        </row>
        <row r="278">
          <cell r="N278">
            <v>0</v>
          </cell>
        </row>
        <row r="279">
          <cell r="N279">
            <v>0</v>
          </cell>
        </row>
        <row r="280">
          <cell r="N280">
            <v>0</v>
          </cell>
        </row>
        <row r="281">
          <cell r="N281">
            <v>0</v>
          </cell>
        </row>
        <row r="282">
          <cell r="N282">
            <v>0</v>
          </cell>
        </row>
        <row r="283">
          <cell r="N283">
            <v>0</v>
          </cell>
        </row>
        <row r="284">
          <cell r="N284">
            <v>0</v>
          </cell>
        </row>
        <row r="285">
          <cell r="N285">
            <v>0</v>
          </cell>
        </row>
        <row r="286">
          <cell r="N286">
            <v>0</v>
          </cell>
        </row>
        <row r="287">
          <cell r="N287">
            <v>0</v>
          </cell>
        </row>
        <row r="288">
          <cell r="N288">
            <v>0</v>
          </cell>
        </row>
        <row r="289">
          <cell r="N289">
            <v>0</v>
          </cell>
        </row>
        <row r="290">
          <cell r="N290">
            <v>0</v>
          </cell>
        </row>
        <row r="291">
          <cell r="N291">
            <v>0</v>
          </cell>
        </row>
        <row r="292">
          <cell r="N292">
            <v>0</v>
          </cell>
        </row>
        <row r="293">
          <cell r="N293">
            <v>0</v>
          </cell>
        </row>
        <row r="294">
          <cell r="N294">
            <v>0</v>
          </cell>
        </row>
        <row r="295">
          <cell r="N295">
            <v>0</v>
          </cell>
        </row>
        <row r="296">
          <cell r="N296">
            <v>0</v>
          </cell>
        </row>
        <row r="297">
          <cell r="N297">
            <v>0</v>
          </cell>
        </row>
        <row r="298">
          <cell r="N298">
            <v>0</v>
          </cell>
        </row>
        <row r="299">
          <cell r="N299">
            <v>0</v>
          </cell>
        </row>
        <row r="300">
          <cell r="N300">
            <v>0</v>
          </cell>
        </row>
        <row r="301">
          <cell r="N301">
            <v>0</v>
          </cell>
        </row>
        <row r="302">
          <cell r="N302">
            <v>0</v>
          </cell>
        </row>
        <row r="303">
          <cell r="N303">
            <v>0</v>
          </cell>
        </row>
        <row r="304">
          <cell r="N304">
            <v>0</v>
          </cell>
        </row>
        <row r="305">
          <cell r="N305">
            <v>0</v>
          </cell>
        </row>
        <row r="306">
          <cell r="N306">
            <v>0</v>
          </cell>
        </row>
        <row r="307">
          <cell r="N307">
            <v>0</v>
          </cell>
        </row>
        <row r="308">
          <cell r="N308">
            <v>0</v>
          </cell>
        </row>
        <row r="309">
          <cell r="N309">
            <v>0</v>
          </cell>
        </row>
        <row r="310">
          <cell r="N310">
            <v>0</v>
          </cell>
        </row>
        <row r="311">
          <cell r="N311">
            <v>0</v>
          </cell>
        </row>
        <row r="312">
          <cell r="N312">
            <v>0</v>
          </cell>
        </row>
        <row r="313">
          <cell r="N313">
            <v>0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0</v>
          </cell>
        </row>
        <row r="317">
          <cell r="N317">
            <v>0</v>
          </cell>
        </row>
        <row r="318">
          <cell r="N318">
            <v>0</v>
          </cell>
        </row>
        <row r="319">
          <cell r="N319">
            <v>0</v>
          </cell>
        </row>
        <row r="320">
          <cell r="N320">
            <v>0</v>
          </cell>
        </row>
        <row r="321">
          <cell r="N321">
            <v>0</v>
          </cell>
        </row>
        <row r="322">
          <cell r="N322">
            <v>0</v>
          </cell>
        </row>
        <row r="323">
          <cell r="N323">
            <v>0</v>
          </cell>
        </row>
        <row r="324">
          <cell r="N324">
            <v>0</v>
          </cell>
        </row>
        <row r="325">
          <cell r="N325">
            <v>0</v>
          </cell>
        </row>
        <row r="326">
          <cell r="N326">
            <v>0</v>
          </cell>
        </row>
        <row r="327">
          <cell r="N327">
            <v>0</v>
          </cell>
        </row>
        <row r="328">
          <cell r="N328">
            <v>0</v>
          </cell>
        </row>
        <row r="329">
          <cell r="N329">
            <v>0</v>
          </cell>
        </row>
        <row r="330">
          <cell r="N330">
            <v>0</v>
          </cell>
        </row>
        <row r="331">
          <cell r="N331">
            <v>0</v>
          </cell>
        </row>
        <row r="332">
          <cell r="N332">
            <v>0</v>
          </cell>
        </row>
        <row r="333">
          <cell r="N333">
            <v>0</v>
          </cell>
        </row>
        <row r="334">
          <cell r="N334">
            <v>0</v>
          </cell>
        </row>
        <row r="335">
          <cell r="N335">
            <v>0</v>
          </cell>
        </row>
        <row r="336">
          <cell r="N336">
            <v>0</v>
          </cell>
        </row>
        <row r="337">
          <cell r="N337">
            <v>0</v>
          </cell>
        </row>
        <row r="338">
          <cell r="N338">
            <v>0</v>
          </cell>
        </row>
        <row r="339">
          <cell r="N339">
            <v>0</v>
          </cell>
        </row>
        <row r="340">
          <cell r="N340">
            <v>0</v>
          </cell>
        </row>
        <row r="341">
          <cell r="N341">
            <v>0</v>
          </cell>
        </row>
        <row r="342">
          <cell r="N342">
            <v>0</v>
          </cell>
        </row>
        <row r="343">
          <cell r="N343">
            <v>0</v>
          </cell>
        </row>
        <row r="344">
          <cell r="N344">
            <v>0</v>
          </cell>
        </row>
        <row r="345">
          <cell r="N345">
            <v>0</v>
          </cell>
        </row>
        <row r="346">
          <cell r="N346">
            <v>0</v>
          </cell>
        </row>
        <row r="347">
          <cell r="N347">
            <v>0</v>
          </cell>
        </row>
        <row r="348">
          <cell r="N348">
            <v>0</v>
          </cell>
        </row>
        <row r="349">
          <cell r="N349">
            <v>0</v>
          </cell>
        </row>
        <row r="350">
          <cell r="N350">
            <v>0</v>
          </cell>
        </row>
        <row r="351">
          <cell r="N351">
            <v>0</v>
          </cell>
        </row>
        <row r="352">
          <cell r="N352">
            <v>0</v>
          </cell>
        </row>
        <row r="353">
          <cell r="N353">
            <v>0</v>
          </cell>
        </row>
        <row r="354">
          <cell r="N354">
            <v>0</v>
          </cell>
        </row>
        <row r="355">
          <cell r="N355">
            <v>0</v>
          </cell>
        </row>
        <row r="356">
          <cell r="N356">
            <v>0</v>
          </cell>
        </row>
        <row r="357">
          <cell r="N357">
            <v>0</v>
          </cell>
        </row>
        <row r="358">
          <cell r="N358">
            <v>0</v>
          </cell>
        </row>
        <row r="359">
          <cell r="N359">
            <v>0</v>
          </cell>
        </row>
        <row r="360">
          <cell r="N360">
            <v>0</v>
          </cell>
        </row>
        <row r="361">
          <cell r="N361">
            <v>0</v>
          </cell>
        </row>
        <row r="362">
          <cell r="N362">
            <v>0</v>
          </cell>
        </row>
        <row r="363">
          <cell r="N363">
            <v>0</v>
          </cell>
        </row>
        <row r="364">
          <cell r="N364">
            <v>1430000</v>
          </cell>
        </row>
        <row r="365">
          <cell r="N365">
            <v>1430000</v>
          </cell>
        </row>
        <row r="366">
          <cell r="N366">
            <v>1430000</v>
          </cell>
        </row>
        <row r="367">
          <cell r="N367">
            <v>0</v>
          </cell>
        </row>
        <row r="368">
          <cell r="N368">
            <v>0</v>
          </cell>
        </row>
        <row r="369">
          <cell r="N369">
            <v>1430000</v>
          </cell>
        </row>
        <row r="370">
          <cell r="N370">
            <v>1430000</v>
          </cell>
        </row>
        <row r="371">
          <cell r="N371">
            <v>0</v>
          </cell>
        </row>
        <row r="372">
          <cell r="N372">
            <v>0</v>
          </cell>
        </row>
        <row r="373">
          <cell r="N373">
            <v>0</v>
          </cell>
        </row>
        <row r="374">
          <cell r="N374">
            <v>0</v>
          </cell>
        </row>
        <row r="375">
          <cell r="N375">
            <v>0</v>
          </cell>
        </row>
        <row r="376">
          <cell r="N376">
            <v>7523316.9800000004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0</v>
          </cell>
        </row>
        <row r="408">
          <cell r="N408">
            <v>0</v>
          </cell>
        </row>
        <row r="409">
          <cell r="N409">
            <v>0</v>
          </cell>
        </row>
        <row r="410">
          <cell r="N410">
            <v>0</v>
          </cell>
        </row>
        <row r="411">
          <cell r="N411">
            <v>0</v>
          </cell>
        </row>
        <row r="412">
          <cell r="N412">
            <v>0</v>
          </cell>
        </row>
        <row r="413">
          <cell r="N413">
            <v>0</v>
          </cell>
        </row>
        <row r="414">
          <cell r="N414">
            <v>0</v>
          </cell>
        </row>
        <row r="415">
          <cell r="N415">
            <v>0</v>
          </cell>
        </row>
        <row r="416">
          <cell r="N416">
            <v>0</v>
          </cell>
        </row>
        <row r="417">
          <cell r="N417">
            <v>0</v>
          </cell>
        </row>
        <row r="418">
          <cell r="N418">
            <v>0</v>
          </cell>
        </row>
        <row r="419">
          <cell r="N419">
            <v>0</v>
          </cell>
        </row>
        <row r="420">
          <cell r="N420">
            <v>0</v>
          </cell>
        </row>
        <row r="421">
          <cell r="N421">
            <v>0</v>
          </cell>
        </row>
        <row r="422">
          <cell r="N422">
            <v>0</v>
          </cell>
        </row>
        <row r="423">
          <cell r="N423">
            <v>0</v>
          </cell>
        </row>
        <row r="424">
          <cell r="N424">
            <v>0</v>
          </cell>
        </row>
        <row r="425">
          <cell r="N425">
            <v>0</v>
          </cell>
        </row>
        <row r="426">
          <cell r="N426">
            <v>0</v>
          </cell>
        </row>
        <row r="427">
          <cell r="N427">
            <v>0</v>
          </cell>
        </row>
        <row r="428">
          <cell r="N428">
            <v>0</v>
          </cell>
        </row>
        <row r="429">
          <cell r="N429">
            <v>0</v>
          </cell>
        </row>
        <row r="430">
          <cell r="N430">
            <v>0</v>
          </cell>
        </row>
        <row r="431">
          <cell r="N431">
            <v>0</v>
          </cell>
        </row>
        <row r="432">
          <cell r="N432">
            <v>0</v>
          </cell>
        </row>
        <row r="433">
          <cell r="N433">
            <v>0</v>
          </cell>
        </row>
        <row r="434">
          <cell r="N434">
            <v>0</v>
          </cell>
        </row>
        <row r="435">
          <cell r="N435">
            <v>0</v>
          </cell>
        </row>
        <row r="436">
          <cell r="N436">
            <v>0</v>
          </cell>
        </row>
        <row r="437">
          <cell r="N437">
            <v>0</v>
          </cell>
        </row>
        <row r="438">
          <cell r="N438">
            <v>0</v>
          </cell>
        </row>
        <row r="439">
          <cell r="N439">
            <v>0</v>
          </cell>
        </row>
        <row r="440">
          <cell r="N440">
            <v>0</v>
          </cell>
        </row>
        <row r="441">
          <cell r="N441">
            <v>0</v>
          </cell>
        </row>
        <row r="442">
          <cell r="N442">
            <v>0</v>
          </cell>
        </row>
        <row r="443">
          <cell r="N443">
            <v>0</v>
          </cell>
        </row>
        <row r="444">
          <cell r="N444">
            <v>0</v>
          </cell>
        </row>
        <row r="445">
          <cell r="N445">
            <v>0</v>
          </cell>
        </row>
        <row r="446">
          <cell r="N446">
            <v>0</v>
          </cell>
        </row>
        <row r="447">
          <cell r="N447">
            <v>0</v>
          </cell>
        </row>
        <row r="448">
          <cell r="N448">
            <v>0</v>
          </cell>
        </row>
        <row r="449">
          <cell r="N449">
            <v>0</v>
          </cell>
        </row>
        <row r="450">
          <cell r="N450">
            <v>0</v>
          </cell>
        </row>
        <row r="451">
          <cell r="N451">
            <v>0</v>
          </cell>
        </row>
        <row r="452">
          <cell r="N452">
            <v>0</v>
          </cell>
        </row>
        <row r="453">
          <cell r="N453">
            <v>0</v>
          </cell>
        </row>
        <row r="454">
          <cell r="N454">
            <v>0</v>
          </cell>
        </row>
        <row r="455">
          <cell r="N455">
            <v>0</v>
          </cell>
        </row>
        <row r="456">
          <cell r="N456">
            <v>0</v>
          </cell>
        </row>
        <row r="457">
          <cell r="N457">
            <v>0</v>
          </cell>
        </row>
        <row r="458">
          <cell r="N458">
            <v>0</v>
          </cell>
        </row>
        <row r="459">
          <cell r="N459">
            <v>0</v>
          </cell>
        </row>
        <row r="460">
          <cell r="N460">
            <v>0</v>
          </cell>
        </row>
        <row r="461">
          <cell r="N461">
            <v>0</v>
          </cell>
        </row>
        <row r="462">
          <cell r="N462">
            <v>0</v>
          </cell>
        </row>
        <row r="463">
          <cell r="N463">
            <v>0</v>
          </cell>
        </row>
        <row r="464">
          <cell r="N464">
            <v>0</v>
          </cell>
        </row>
        <row r="465">
          <cell r="N465">
            <v>0</v>
          </cell>
        </row>
        <row r="466">
          <cell r="N466">
            <v>0</v>
          </cell>
        </row>
        <row r="467">
          <cell r="N467">
            <v>0</v>
          </cell>
        </row>
        <row r="468">
          <cell r="N468">
            <v>0</v>
          </cell>
        </row>
        <row r="469">
          <cell r="N469">
            <v>0</v>
          </cell>
        </row>
        <row r="470">
          <cell r="N470">
            <v>0</v>
          </cell>
        </row>
        <row r="471">
          <cell r="N471">
            <v>0</v>
          </cell>
        </row>
        <row r="472">
          <cell r="N472">
            <v>0</v>
          </cell>
        </row>
        <row r="473">
          <cell r="N473">
            <v>0</v>
          </cell>
        </row>
        <row r="474">
          <cell r="N474">
            <v>0</v>
          </cell>
        </row>
        <row r="475">
          <cell r="N475">
            <v>0</v>
          </cell>
        </row>
        <row r="476">
          <cell r="N476">
            <v>0</v>
          </cell>
        </row>
        <row r="477">
          <cell r="N477">
            <v>0</v>
          </cell>
        </row>
        <row r="478">
          <cell r="N478">
            <v>0</v>
          </cell>
        </row>
        <row r="479">
          <cell r="N479">
            <v>0</v>
          </cell>
        </row>
        <row r="480">
          <cell r="N480">
            <v>0</v>
          </cell>
        </row>
        <row r="481">
          <cell r="N481">
            <v>0</v>
          </cell>
        </row>
        <row r="482">
          <cell r="N482">
            <v>0</v>
          </cell>
        </row>
        <row r="483">
          <cell r="N483">
            <v>0</v>
          </cell>
        </row>
        <row r="484">
          <cell r="N484">
            <v>0</v>
          </cell>
        </row>
        <row r="485">
          <cell r="N485">
            <v>0</v>
          </cell>
        </row>
        <row r="486">
          <cell r="N486">
            <v>0</v>
          </cell>
        </row>
        <row r="487">
          <cell r="N487">
            <v>0</v>
          </cell>
        </row>
        <row r="488">
          <cell r="N488">
            <v>0</v>
          </cell>
        </row>
        <row r="489">
          <cell r="N489">
            <v>0</v>
          </cell>
        </row>
        <row r="490">
          <cell r="N490">
            <v>0</v>
          </cell>
        </row>
        <row r="491">
          <cell r="N491">
            <v>0</v>
          </cell>
        </row>
        <row r="492">
          <cell r="N492">
            <v>0</v>
          </cell>
        </row>
        <row r="493">
          <cell r="N493">
            <v>0</v>
          </cell>
        </row>
        <row r="494">
          <cell r="N494">
            <v>0</v>
          </cell>
        </row>
        <row r="495">
          <cell r="N495">
            <v>0</v>
          </cell>
        </row>
        <row r="496">
          <cell r="N496">
            <v>0</v>
          </cell>
        </row>
        <row r="497">
          <cell r="N497">
            <v>0</v>
          </cell>
        </row>
        <row r="498">
          <cell r="N498">
            <v>0</v>
          </cell>
        </row>
        <row r="499">
          <cell r="N499">
            <v>0</v>
          </cell>
        </row>
        <row r="500">
          <cell r="N500">
            <v>0</v>
          </cell>
        </row>
        <row r="501">
          <cell r="N501">
            <v>0</v>
          </cell>
        </row>
        <row r="502">
          <cell r="N502">
            <v>0</v>
          </cell>
        </row>
        <row r="503">
          <cell r="N503">
            <v>0</v>
          </cell>
        </row>
        <row r="504">
          <cell r="N504">
            <v>0</v>
          </cell>
        </row>
        <row r="505">
          <cell r="N505">
            <v>0</v>
          </cell>
        </row>
        <row r="506">
          <cell r="N506">
            <v>0</v>
          </cell>
        </row>
        <row r="507">
          <cell r="N507">
            <v>0</v>
          </cell>
        </row>
        <row r="508">
          <cell r="N508">
            <v>0</v>
          </cell>
        </row>
        <row r="509">
          <cell r="N509">
            <v>0</v>
          </cell>
        </row>
        <row r="510">
          <cell r="N510">
            <v>0</v>
          </cell>
        </row>
        <row r="511">
          <cell r="N511">
            <v>4307817.9800000004</v>
          </cell>
        </row>
        <row r="512">
          <cell r="N512">
            <v>0</v>
          </cell>
        </row>
        <row r="513">
          <cell r="N513">
            <v>0</v>
          </cell>
        </row>
        <row r="514">
          <cell r="N514">
            <v>0</v>
          </cell>
        </row>
        <row r="515">
          <cell r="N515">
            <v>4307817.9800000004</v>
          </cell>
        </row>
        <row r="516">
          <cell r="N516">
            <v>0</v>
          </cell>
        </row>
        <row r="517">
          <cell r="N517">
            <v>0</v>
          </cell>
        </row>
        <row r="518">
          <cell r="N518">
            <v>0</v>
          </cell>
        </row>
        <row r="519">
          <cell r="N519">
            <v>0</v>
          </cell>
        </row>
        <row r="520">
          <cell r="N520">
            <v>0</v>
          </cell>
        </row>
        <row r="521">
          <cell r="N521">
            <v>4090113.98</v>
          </cell>
        </row>
        <row r="522">
          <cell r="N522">
            <v>4090113.98</v>
          </cell>
        </row>
        <row r="523">
          <cell r="N523">
            <v>562500</v>
          </cell>
        </row>
        <row r="524">
          <cell r="N524">
            <v>187500</v>
          </cell>
        </row>
        <row r="525">
          <cell r="N525">
            <v>0</v>
          </cell>
        </row>
        <row r="526">
          <cell r="N526">
            <v>300000</v>
          </cell>
        </row>
        <row r="527">
          <cell r="N527">
            <v>75000</v>
          </cell>
        </row>
        <row r="528">
          <cell r="N528">
            <v>0</v>
          </cell>
        </row>
        <row r="529">
          <cell r="N529">
            <v>300000</v>
          </cell>
        </row>
        <row r="530">
          <cell r="N530">
            <v>0</v>
          </cell>
        </row>
        <row r="531">
          <cell r="N531">
            <v>0</v>
          </cell>
        </row>
        <row r="532">
          <cell r="N532">
            <v>300000</v>
          </cell>
        </row>
        <row r="533">
          <cell r="N533">
            <v>0</v>
          </cell>
        </row>
        <row r="534">
          <cell r="N534">
            <v>0</v>
          </cell>
        </row>
        <row r="535">
          <cell r="N535">
            <v>979774</v>
          </cell>
        </row>
        <row r="536">
          <cell r="N536">
            <v>0</v>
          </cell>
        </row>
        <row r="537">
          <cell r="N537">
            <v>0</v>
          </cell>
        </row>
        <row r="538">
          <cell r="N538">
            <v>500629</v>
          </cell>
        </row>
        <row r="539">
          <cell r="N539">
            <v>38095</v>
          </cell>
        </row>
        <row r="540">
          <cell r="N540">
            <v>441050</v>
          </cell>
        </row>
        <row r="541">
          <cell r="N541">
            <v>233944</v>
          </cell>
        </row>
        <row r="542">
          <cell r="N542">
            <v>0</v>
          </cell>
        </row>
        <row r="543">
          <cell r="N543">
            <v>0</v>
          </cell>
        </row>
        <row r="544">
          <cell r="N544">
            <v>230134</v>
          </cell>
        </row>
        <row r="545">
          <cell r="N545">
            <v>3810</v>
          </cell>
        </row>
        <row r="546">
          <cell r="N546">
            <v>0</v>
          </cell>
        </row>
        <row r="547">
          <cell r="N547">
            <v>1341395.98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1249520.98</v>
          </cell>
        </row>
        <row r="551">
          <cell r="N551">
            <v>38095</v>
          </cell>
        </row>
        <row r="552">
          <cell r="N552">
            <v>53780</v>
          </cell>
        </row>
        <row r="553">
          <cell r="N553">
            <v>672500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632500</v>
          </cell>
        </row>
        <row r="557">
          <cell r="N557">
            <v>40000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22500</v>
          </cell>
        </row>
        <row r="562">
          <cell r="N562">
            <v>0</v>
          </cell>
        </row>
        <row r="563">
          <cell r="N563">
            <v>22500</v>
          </cell>
        </row>
        <row r="564">
          <cell r="N564">
            <v>7500</v>
          </cell>
        </row>
        <row r="565">
          <cell r="N565">
            <v>7500</v>
          </cell>
        </row>
        <row r="566">
          <cell r="N566">
            <v>0</v>
          </cell>
        </row>
        <row r="567">
          <cell r="N567">
            <v>7500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195204</v>
          </cell>
        </row>
        <row r="577">
          <cell r="N577">
            <v>195204</v>
          </cell>
        </row>
        <row r="578">
          <cell r="N578">
            <v>27500</v>
          </cell>
        </row>
        <row r="579">
          <cell r="N579">
            <v>27500</v>
          </cell>
        </row>
        <row r="580">
          <cell r="N580">
            <v>112704</v>
          </cell>
        </row>
        <row r="581">
          <cell r="N581">
            <v>27500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288000</v>
          </cell>
        </row>
        <row r="598">
          <cell r="N598">
            <v>288000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288000</v>
          </cell>
        </row>
        <row r="602">
          <cell r="N602">
            <v>288000</v>
          </cell>
        </row>
        <row r="603">
          <cell r="N603">
            <v>288000</v>
          </cell>
        </row>
        <row r="604">
          <cell r="N604">
            <v>0</v>
          </cell>
        </row>
        <row r="605">
          <cell r="N605">
            <v>0</v>
          </cell>
        </row>
        <row r="606">
          <cell r="N606">
            <v>0</v>
          </cell>
        </row>
        <row r="607">
          <cell r="N607">
            <v>0</v>
          </cell>
        </row>
        <row r="608">
          <cell r="N608">
            <v>0</v>
          </cell>
        </row>
        <row r="609">
          <cell r="N609">
            <v>2027499</v>
          </cell>
        </row>
        <row r="610">
          <cell r="N610">
            <v>637700</v>
          </cell>
        </row>
        <row r="611">
          <cell r="N611">
            <v>239400</v>
          </cell>
        </row>
        <row r="612">
          <cell r="N612">
            <v>0</v>
          </cell>
        </row>
        <row r="613">
          <cell r="N613">
            <v>12296</v>
          </cell>
        </row>
        <row r="614">
          <cell r="N614">
            <v>0</v>
          </cell>
        </row>
        <row r="615">
          <cell r="N615">
            <v>0</v>
          </cell>
        </row>
        <row r="616">
          <cell r="N616">
            <v>9976</v>
          </cell>
        </row>
        <row r="617">
          <cell r="N617">
            <v>39950.400000000001</v>
          </cell>
        </row>
        <row r="618">
          <cell r="N618">
            <v>0</v>
          </cell>
        </row>
        <row r="619">
          <cell r="N619">
            <v>0</v>
          </cell>
        </row>
        <row r="620">
          <cell r="N620">
            <v>15984.8</v>
          </cell>
        </row>
        <row r="621">
          <cell r="N621">
            <v>0</v>
          </cell>
        </row>
        <row r="622">
          <cell r="N622">
            <v>23930.799999999999</v>
          </cell>
        </row>
        <row r="623">
          <cell r="N623">
            <v>0</v>
          </cell>
        </row>
        <row r="624">
          <cell r="N624">
            <v>20020.8</v>
          </cell>
        </row>
        <row r="625">
          <cell r="N625">
            <v>0</v>
          </cell>
        </row>
        <row r="626">
          <cell r="N626">
            <v>0</v>
          </cell>
        </row>
        <row r="627">
          <cell r="N627">
            <v>0</v>
          </cell>
        </row>
        <row r="628">
          <cell r="N628">
            <v>52246.400000000001</v>
          </cell>
        </row>
        <row r="629">
          <cell r="N629">
            <v>64994.8</v>
          </cell>
        </row>
        <row r="630">
          <cell r="N630">
            <v>0</v>
          </cell>
        </row>
        <row r="631">
          <cell r="N631">
            <v>0</v>
          </cell>
        </row>
        <row r="632">
          <cell r="N632">
            <v>0</v>
          </cell>
        </row>
        <row r="633">
          <cell r="N633">
            <v>0</v>
          </cell>
        </row>
        <row r="634">
          <cell r="N634">
            <v>0</v>
          </cell>
        </row>
        <row r="635">
          <cell r="N635">
            <v>0</v>
          </cell>
        </row>
        <row r="636">
          <cell r="N636">
            <v>0</v>
          </cell>
        </row>
        <row r="637">
          <cell r="N637">
            <v>0</v>
          </cell>
        </row>
        <row r="638">
          <cell r="N638">
            <v>323500</v>
          </cell>
        </row>
        <row r="639">
          <cell r="N639">
            <v>0</v>
          </cell>
        </row>
        <row r="640">
          <cell r="N640">
            <v>162000</v>
          </cell>
        </row>
        <row r="641">
          <cell r="N641">
            <v>74653.25</v>
          </cell>
        </row>
        <row r="642">
          <cell r="N642">
            <v>0</v>
          </cell>
        </row>
        <row r="643">
          <cell r="N643">
            <v>0</v>
          </cell>
        </row>
        <row r="644">
          <cell r="N644">
            <v>0</v>
          </cell>
        </row>
        <row r="645">
          <cell r="N645">
            <v>0</v>
          </cell>
        </row>
        <row r="646">
          <cell r="N646">
            <v>34427.699999999997</v>
          </cell>
        </row>
        <row r="647">
          <cell r="N647">
            <v>0</v>
          </cell>
        </row>
        <row r="648">
          <cell r="N648">
            <v>29059.55</v>
          </cell>
        </row>
        <row r="649">
          <cell r="N649">
            <v>0</v>
          </cell>
        </row>
        <row r="650">
          <cell r="N650">
            <v>0</v>
          </cell>
        </row>
        <row r="651">
          <cell r="N651">
            <v>0</v>
          </cell>
        </row>
        <row r="652">
          <cell r="N652">
            <v>23359.5</v>
          </cell>
        </row>
        <row r="653">
          <cell r="N653">
            <v>0</v>
          </cell>
        </row>
        <row r="654">
          <cell r="N654">
            <v>0</v>
          </cell>
        </row>
        <row r="655">
          <cell r="N655">
            <v>74800</v>
          </cell>
        </row>
        <row r="656">
          <cell r="N656">
            <v>50672</v>
          </cell>
        </row>
        <row r="657">
          <cell r="N657">
            <v>12528</v>
          </cell>
        </row>
        <row r="658">
          <cell r="N658">
            <v>0</v>
          </cell>
        </row>
        <row r="659">
          <cell r="N659">
            <v>0</v>
          </cell>
        </row>
        <row r="660">
          <cell r="N660">
            <v>0</v>
          </cell>
        </row>
        <row r="661">
          <cell r="N661">
            <v>11600</v>
          </cell>
        </row>
        <row r="662">
          <cell r="N662">
            <v>0</v>
          </cell>
        </row>
        <row r="663">
          <cell r="N663">
            <v>0</v>
          </cell>
        </row>
        <row r="664">
          <cell r="N664">
            <v>0</v>
          </cell>
        </row>
        <row r="665">
          <cell r="N665">
            <v>0</v>
          </cell>
        </row>
        <row r="666">
          <cell r="N666">
            <v>0</v>
          </cell>
        </row>
        <row r="667">
          <cell r="N667">
            <v>0</v>
          </cell>
        </row>
        <row r="668">
          <cell r="N668">
            <v>0</v>
          </cell>
        </row>
        <row r="669">
          <cell r="N669">
            <v>59000</v>
          </cell>
        </row>
        <row r="670">
          <cell r="N670">
            <v>11000</v>
          </cell>
        </row>
        <row r="671">
          <cell r="N671">
            <v>0</v>
          </cell>
        </row>
        <row r="672">
          <cell r="N672">
            <v>11000</v>
          </cell>
        </row>
        <row r="673">
          <cell r="N673">
            <v>0</v>
          </cell>
        </row>
        <row r="674">
          <cell r="N674">
            <v>0</v>
          </cell>
        </row>
        <row r="675">
          <cell r="N675">
            <v>0</v>
          </cell>
        </row>
        <row r="676">
          <cell r="N676">
            <v>0</v>
          </cell>
        </row>
        <row r="677">
          <cell r="N677">
            <v>0</v>
          </cell>
        </row>
        <row r="678">
          <cell r="N678">
            <v>0</v>
          </cell>
        </row>
        <row r="679">
          <cell r="N679">
            <v>0</v>
          </cell>
        </row>
        <row r="680">
          <cell r="N680">
            <v>0</v>
          </cell>
        </row>
        <row r="681">
          <cell r="N681">
            <v>0</v>
          </cell>
        </row>
        <row r="682">
          <cell r="N682">
            <v>0</v>
          </cell>
        </row>
        <row r="683">
          <cell r="N683">
            <v>0</v>
          </cell>
        </row>
        <row r="684">
          <cell r="N684">
            <v>0</v>
          </cell>
        </row>
        <row r="685">
          <cell r="N685">
            <v>0</v>
          </cell>
        </row>
        <row r="686">
          <cell r="N686">
            <v>0</v>
          </cell>
        </row>
        <row r="687">
          <cell r="N687">
            <v>0</v>
          </cell>
        </row>
        <row r="688">
          <cell r="N688">
            <v>0</v>
          </cell>
        </row>
        <row r="689">
          <cell r="N689">
            <v>0</v>
          </cell>
        </row>
        <row r="690">
          <cell r="N690">
            <v>0</v>
          </cell>
        </row>
        <row r="691">
          <cell r="N691">
            <v>0</v>
          </cell>
        </row>
        <row r="692">
          <cell r="N692">
            <v>0</v>
          </cell>
        </row>
        <row r="693">
          <cell r="N693">
            <v>0</v>
          </cell>
        </row>
        <row r="694">
          <cell r="N694">
            <v>0</v>
          </cell>
        </row>
        <row r="695">
          <cell r="N695">
            <v>0</v>
          </cell>
        </row>
        <row r="696">
          <cell r="N696">
            <v>0</v>
          </cell>
        </row>
        <row r="697">
          <cell r="N697">
            <v>0</v>
          </cell>
        </row>
        <row r="698">
          <cell r="N698">
            <v>48000</v>
          </cell>
        </row>
        <row r="699">
          <cell r="N699">
            <v>0</v>
          </cell>
        </row>
        <row r="700">
          <cell r="N700">
            <v>0</v>
          </cell>
        </row>
        <row r="701">
          <cell r="N701">
            <v>0</v>
          </cell>
        </row>
        <row r="702">
          <cell r="N702">
            <v>24000</v>
          </cell>
        </row>
        <row r="703">
          <cell r="N703">
            <v>24000</v>
          </cell>
        </row>
        <row r="704">
          <cell r="N704">
            <v>0</v>
          </cell>
        </row>
        <row r="705">
          <cell r="N705">
            <v>0</v>
          </cell>
        </row>
        <row r="706">
          <cell r="N706">
            <v>0</v>
          </cell>
        </row>
        <row r="707">
          <cell r="N707">
            <v>0</v>
          </cell>
        </row>
        <row r="708">
          <cell r="N708">
            <v>0</v>
          </cell>
        </row>
        <row r="709">
          <cell r="N709">
            <v>0</v>
          </cell>
        </row>
        <row r="710">
          <cell r="N710">
            <v>0</v>
          </cell>
        </row>
        <row r="711">
          <cell r="N711">
            <v>0</v>
          </cell>
        </row>
        <row r="712">
          <cell r="N712">
            <v>0</v>
          </cell>
        </row>
        <row r="713">
          <cell r="N713">
            <v>0</v>
          </cell>
        </row>
        <row r="714">
          <cell r="N714">
            <v>0</v>
          </cell>
        </row>
        <row r="715">
          <cell r="N715">
            <v>0</v>
          </cell>
        </row>
        <row r="716">
          <cell r="N716">
            <v>0</v>
          </cell>
        </row>
        <row r="717">
          <cell r="N717">
            <v>0</v>
          </cell>
        </row>
        <row r="718">
          <cell r="N718">
            <v>0</v>
          </cell>
        </row>
        <row r="719">
          <cell r="N719">
            <v>0</v>
          </cell>
        </row>
        <row r="720">
          <cell r="N720">
            <v>0</v>
          </cell>
        </row>
        <row r="721">
          <cell r="N721">
            <v>0</v>
          </cell>
        </row>
        <row r="722">
          <cell r="N722">
            <v>0</v>
          </cell>
        </row>
        <row r="723">
          <cell r="N723">
            <v>0</v>
          </cell>
        </row>
        <row r="724">
          <cell r="N724">
            <v>0</v>
          </cell>
        </row>
        <row r="725">
          <cell r="N725">
            <v>0</v>
          </cell>
        </row>
        <row r="726">
          <cell r="N726">
            <v>0</v>
          </cell>
        </row>
        <row r="727">
          <cell r="N727">
            <v>0</v>
          </cell>
        </row>
        <row r="728">
          <cell r="N728">
            <v>0</v>
          </cell>
        </row>
        <row r="729">
          <cell r="N729">
            <v>0</v>
          </cell>
        </row>
        <row r="730">
          <cell r="N730">
            <v>0</v>
          </cell>
        </row>
        <row r="731">
          <cell r="N731">
            <v>0</v>
          </cell>
        </row>
        <row r="732">
          <cell r="N732">
            <v>0</v>
          </cell>
        </row>
        <row r="733">
          <cell r="N733">
            <v>0</v>
          </cell>
        </row>
        <row r="734">
          <cell r="N734">
            <v>0</v>
          </cell>
        </row>
        <row r="735">
          <cell r="N735">
            <v>0</v>
          </cell>
        </row>
        <row r="736">
          <cell r="N736">
            <v>0</v>
          </cell>
        </row>
        <row r="737">
          <cell r="N737">
            <v>0</v>
          </cell>
        </row>
        <row r="738">
          <cell r="N738">
            <v>0</v>
          </cell>
        </row>
        <row r="739">
          <cell r="N739">
            <v>0</v>
          </cell>
        </row>
        <row r="740">
          <cell r="N740">
            <v>0</v>
          </cell>
        </row>
        <row r="741">
          <cell r="N741">
            <v>0</v>
          </cell>
        </row>
        <row r="742">
          <cell r="N742">
            <v>0</v>
          </cell>
        </row>
        <row r="743">
          <cell r="N743">
            <v>0</v>
          </cell>
        </row>
        <row r="744">
          <cell r="N744">
            <v>0</v>
          </cell>
        </row>
        <row r="745">
          <cell r="N745">
            <v>0</v>
          </cell>
        </row>
        <row r="746">
          <cell r="N746">
            <v>0</v>
          </cell>
        </row>
        <row r="747">
          <cell r="N747">
            <v>0</v>
          </cell>
        </row>
        <row r="748">
          <cell r="N748">
            <v>0</v>
          </cell>
        </row>
        <row r="749">
          <cell r="N749">
            <v>0</v>
          </cell>
        </row>
        <row r="750">
          <cell r="N750">
            <v>0</v>
          </cell>
        </row>
        <row r="751">
          <cell r="N751">
            <v>0</v>
          </cell>
        </row>
        <row r="752">
          <cell r="N752">
            <v>0</v>
          </cell>
        </row>
        <row r="753">
          <cell r="N753">
            <v>0</v>
          </cell>
        </row>
        <row r="754">
          <cell r="N754">
            <v>0</v>
          </cell>
        </row>
        <row r="755">
          <cell r="N755">
            <v>0</v>
          </cell>
        </row>
        <row r="756">
          <cell r="N756">
            <v>1327499</v>
          </cell>
        </row>
        <row r="757">
          <cell r="N757">
            <v>1327499</v>
          </cell>
        </row>
        <row r="758">
          <cell r="N758">
            <v>1327499</v>
          </cell>
        </row>
        <row r="759">
          <cell r="N759">
            <v>0</v>
          </cell>
        </row>
        <row r="760">
          <cell r="N760">
            <v>0</v>
          </cell>
        </row>
        <row r="761">
          <cell r="N761">
            <v>0</v>
          </cell>
        </row>
        <row r="762">
          <cell r="N762">
            <v>0</v>
          </cell>
        </row>
        <row r="763">
          <cell r="N763">
            <v>0</v>
          </cell>
        </row>
        <row r="764">
          <cell r="N764">
            <v>0</v>
          </cell>
        </row>
        <row r="765">
          <cell r="N765">
            <v>0</v>
          </cell>
        </row>
        <row r="766">
          <cell r="N766">
            <v>0</v>
          </cell>
        </row>
        <row r="767">
          <cell r="N767">
            <v>0</v>
          </cell>
        </row>
        <row r="768">
          <cell r="N768">
            <v>0</v>
          </cell>
        </row>
        <row r="769">
          <cell r="N769">
            <v>0</v>
          </cell>
        </row>
        <row r="770">
          <cell r="N770">
            <v>0</v>
          </cell>
        </row>
        <row r="771">
          <cell r="N771">
            <v>0</v>
          </cell>
        </row>
        <row r="772">
          <cell r="N772">
            <v>0</v>
          </cell>
        </row>
        <row r="773">
          <cell r="N773">
            <v>0</v>
          </cell>
        </row>
        <row r="774">
          <cell r="N774">
            <v>0</v>
          </cell>
        </row>
        <row r="775">
          <cell r="N775">
            <v>0</v>
          </cell>
        </row>
        <row r="776">
          <cell r="N776">
            <v>464999</v>
          </cell>
        </row>
        <row r="777">
          <cell r="N777">
            <v>292500</v>
          </cell>
        </row>
        <row r="778">
          <cell r="N778">
            <v>550000</v>
          </cell>
        </row>
        <row r="779">
          <cell r="N779">
            <v>20000</v>
          </cell>
        </row>
        <row r="780">
          <cell r="N780">
            <v>3300</v>
          </cell>
        </row>
        <row r="781">
          <cell r="N781">
            <v>0</v>
          </cell>
        </row>
        <row r="782">
          <cell r="N782">
            <v>0</v>
          </cell>
        </row>
        <row r="783">
          <cell r="N783">
            <v>0</v>
          </cell>
        </row>
        <row r="784">
          <cell r="N784">
            <v>0</v>
          </cell>
        </row>
        <row r="785">
          <cell r="N785">
            <v>0</v>
          </cell>
        </row>
        <row r="786">
          <cell r="N786">
            <v>0</v>
          </cell>
        </row>
        <row r="787">
          <cell r="N787">
            <v>0</v>
          </cell>
        </row>
        <row r="788">
          <cell r="N788">
            <v>0</v>
          </cell>
        </row>
        <row r="789">
          <cell r="N789">
            <v>0</v>
          </cell>
        </row>
        <row r="790">
          <cell r="N790">
            <v>0</v>
          </cell>
        </row>
        <row r="791">
          <cell r="N791">
            <v>0</v>
          </cell>
        </row>
        <row r="792">
          <cell r="N792">
            <v>0</v>
          </cell>
        </row>
        <row r="793">
          <cell r="N793">
            <v>0</v>
          </cell>
        </row>
        <row r="794">
          <cell r="N794">
            <v>0</v>
          </cell>
        </row>
        <row r="795">
          <cell r="N795">
            <v>0</v>
          </cell>
        </row>
        <row r="796">
          <cell r="N796">
            <v>3300</v>
          </cell>
        </row>
        <row r="797">
          <cell r="N797">
            <v>3300</v>
          </cell>
        </row>
        <row r="798">
          <cell r="N798">
            <v>0</v>
          </cell>
        </row>
        <row r="799">
          <cell r="N799">
            <v>0</v>
          </cell>
        </row>
        <row r="800">
          <cell r="N800">
            <v>0</v>
          </cell>
        </row>
        <row r="801">
          <cell r="N801">
            <v>0</v>
          </cell>
        </row>
        <row r="802">
          <cell r="N802">
            <v>0</v>
          </cell>
        </row>
        <row r="803">
          <cell r="N803">
            <v>0</v>
          </cell>
        </row>
        <row r="804">
          <cell r="N804">
            <v>900000</v>
          </cell>
        </row>
        <row r="805">
          <cell r="N805">
            <v>900000</v>
          </cell>
        </row>
        <row r="806">
          <cell r="N806">
            <v>900000</v>
          </cell>
        </row>
        <row r="807">
          <cell r="N807">
            <v>0</v>
          </cell>
        </row>
        <row r="808">
          <cell r="N808">
            <v>0</v>
          </cell>
        </row>
        <row r="809">
          <cell r="N809">
            <v>900000</v>
          </cell>
        </row>
        <row r="810">
          <cell r="N810">
            <v>900000</v>
          </cell>
        </row>
        <row r="811">
          <cell r="N811">
            <v>0</v>
          </cell>
        </row>
        <row r="812">
          <cell r="N812">
            <v>0</v>
          </cell>
        </row>
        <row r="813">
          <cell r="N813">
            <v>0</v>
          </cell>
        </row>
        <row r="814">
          <cell r="N814">
            <v>0</v>
          </cell>
        </row>
        <row r="815">
          <cell r="N815">
            <v>0</v>
          </cell>
        </row>
        <row r="816">
          <cell r="N816">
            <v>725395</v>
          </cell>
        </row>
        <row r="817">
          <cell r="N817">
            <v>27144</v>
          </cell>
        </row>
        <row r="818">
          <cell r="N818">
            <v>0</v>
          </cell>
        </row>
        <row r="819">
          <cell r="N819">
            <v>0</v>
          </cell>
        </row>
        <row r="820">
          <cell r="N820">
            <v>0</v>
          </cell>
        </row>
        <row r="821">
          <cell r="N821">
            <v>0</v>
          </cell>
        </row>
        <row r="822">
          <cell r="N822">
            <v>0</v>
          </cell>
        </row>
        <row r="823">
          <cell r="N823">
            <v>0</v>
          </cell>
        </row>
        <row r="824">
          <cell r="N824">
            <v>0</v>
          </cell>
        </row>
        <row r="825">
          <cell r="N825">
            <v>0</v>
          </cell>
        </row>
        <row r="826">
          <cell r="N826">
            <v>0</v>
          </cell>
        </row>
        <row r="827">
          <cell r="N827">
            <v>0</v>
          </cell>
        </row>
        <row r="828">
          <cell r="N828">
            <v>0</v>
          </cell>
        </row>
        <row r="829">
          <cell r="N829">
            <v>0</v>
          </cell>
        </row>
        <row r="830">
          <cell r="N830">
            <v>0</v>
          </cell>
        </row>
        <row r="831">
          <cell r="N831">
            <v>0</v>
          </cell>
        </row>
        <row r="832">
          <cell r="N832">
            <v>0</v>
          </cell>
        </row>
        <row r="833">
          <cell r="N833">
            <v>0</v>
          </cell>
        </row>
        <row r="834">
          <cell r="N834">
            <v>0</v>
          </cell>
        </row>
        <row r="835">
          <cell r="N835">
            <v>0</v>
          </cell>
        </row>
        <row r="836">
          <cell r="N836">
            <v>27144</v>
          </cell>
        </row>
        <row r="837">
          <cell r="N837">
            <v>27144</v>
          </cell>
        </row>
        <row r="838">
          <cell r="N838">
            <v>0</v>
          </cell>
        </row>
        <row r="839">
          <cell r="N839">
            <v>0</v>
          </cell>
        </row>
        <row r="840">
          <cell r="N840">
            <v>0</v>
          </cell>
        </row>
        <row r="841">
          <cell r="N841">
            <v>0</v>
          </cell>
        </row>
        <row r="842">
          <cell r="N842">
            <v>0</v>
          </cell>
        </row>
        <row r="843">
          <cell r="N843">
            <v>0</v>
          </cell>
        </row>
        <row r="844">
          <cell r="N844">
            <v>0</v>
          </cell>
        </row>
        <row r="845">
          <cell r="N845">
            <v>0</v>
          </cell>
        </row>
        <row r="846">
          <cell r="N846">
            <v>0</v>
          </cell>
        </row>
        <row r="847">
          <cell r="N847">
            <v>0</v>
          </cell>
        </row>
        <row r="848">
          <cell r="N848">
            <v>27144</v>
          </cell>
        </row>
        <row r="849">
          <cell r="N849">
            <v>0</v>
          </cell>
        </row>
        <row r="850">
          <cell r="N850">
            <v>0</v>
          </cell>
        </row>
        <row r="851">
          <cell r="N851">
            <v>0</v>
          </cell>
        </row>
        <row r="852">
          <cell r="N852">
            <v>0</v>
          </cell>
        </row>
        <row r="853">
          <cell r="N853">
            <v>0</v>
          </cell>
        </row>
        <row r="854">
          <cell r="N854">
            <v>0</v>
          </cell>
        </row>
        <row r="855">
          <cell r="N855">
            <v>0</v>
          </cell>
        </row>
        <row r="856">
          <cell r="N856">
            <v>0</v>
          </cell>
        </row>
        <row r="857">
          <cell r="N857">
            <v>0</v>
          </cell>
        </row>
        <row r="858">
          <cell r="N858">
            <v>0</v>
          </cell>
        </row>
        <row r="859">
          <cell r="N859">
            <v>0</v>
          </cell>
        </row>
        <row r="860">
          <cell r="N860">
            <v>0</v>
          </cell>
        </row>
        <row r="861">
          <cell r="N861">
            <v>698251</v>
          </cell>
        </row>
        <row r="862">
          <cell r="N862">
            <v>38251</v>
          </cell>
        </row>
        <row r="863">
          <cell r="N863">
            <v>0</v>
          </cell>
        </row>
        <row r="864">
          <cell r="N864">
            <v>0</v>
          </cell>
        </row>
        <row r="865">
          <cell r="N865">
            <v>0</v>
          </cell>
        </row>
        <row r="866">
          <cell r="N866">
            <v>0</v>
          </cell>
        </row>
        <row r="867">
          <cell r="N867">
            <v>0</v>
          </cell>
        </row>
        <row r="868">
          <cell r="N868">
            <v>0</v>
          </cell>
        </row>
        <row r="869">
          <cell r="N869">
            <v>0</v>
          </cell>
        </row>
        <row r="870">
          <cell r="N870">
            <v>0</v>
          </cell>
        </row>
        <row r="871">
          <cell r="N871">
            <v>0</v>
          </cell>
        </row>
        <row r="872">
          <cell r="N872">
            <v>0</v>
          </cell>
        </row>
        <row r="873">
          <cell r="N873">
            <v>0</v>
          </cell>
        </row>
        <row r="874">
          <cell r="N874">
            <v>0</v>
          </cell>
        </row>
        <row r="875">
          <cell r="N875">
            <v>38251</v>
          </cell>
        </row>
        <row r="876">
          <cell r="N876">
            <v>0</v>
          </cell>
        </row>
        <row r="877">
          <cell r="N877">
            <v>0</v>
          </cell>
        </row>
        <row r="878">
          <cell r="N878">
            <v>0</v>
          </cell>
        </row>
        <row r="879">
          <cell r="N879">
            <v>0</v>
          </cell>
        </row>
        <row r="880">
          <cell r="N880">
            <v>38251</v>
          </cell>
        </row>
        <row r="881">
          <cell r="N881">
            <v>0</v>
          </cell>
        </row>
        <row r="882">
          <cell r="N882">
            <v>0</v>
          </cell>
        </row>
        <row r="883">
          <cell r="N883">
            <v>0</v>
          </cell>
        </row>
        <row r="884">
          <cell r="N884">
            <v>0</v>
          </cell>
        </row>
        <row r="885">
          <cell r="N885">
            <v>0</v>
          </cell>
        </row>
        <row r="886">
          <cell r="N886">
            <v>0</v>
          </cell>
        </row>
        <row r="887">
          <cell r="N887">
            <v>0</v>
          </cell>
        </row>
        <row r="888">
          <cell r="N888">
            <v>0</v>
          </cell>
        </row>
        <row r="889">
          <cell r="N889">
            <v>0</v>
          </cell>
        </row>
        <row r="890">
          <cell r="N890">
            <v>0</v>
          </cell>
        </row>
        <row r="891">
          <cell r="N891">
            <v>0</v>
          </cell>
        </row>
        <row r="892">
          <cell r="N892">
            <v>0</v>
          </cell>
        </row>
        <row r="893">
          <cell r="N893">
            <v>0</v>
          </cell>
        </row>
        <row r="894">
          <cell r="N894">
            <v>0</v>
          </cell>
        </row>
        <row r="895">
          <cell r="N895">
            <v>0</v>
          </cell>
        </row>
        <row r="896">
          <cell r="N896">
            <v>0</v>
          </cell>
        </row>
        <row r="897">
          <cell r="N897">
            <v>0</v>
          </cell>
        </row>
        <row r="898">
          <cell r="N898">
            <v>660000</v>
          </cell>
        </row>
        <row r="899">
          <cell r="N899">
            <v>0</v>
          </cell>
        </row>
        <row r="900">
          <cell r="N900">
            <v>0</v>
          </cell>
        </row>
        <row r="901">
          <cell r="N901">
            <v>0</v>
          </cell>
        </row>
        <row r="902">
          <cell r="N902">
            <v>660000</v>
          </cell>
        </row>
        <row r="903">
          <cell r="N903">
            <v>660000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0</v>
          </cell>
        </row>
        <row r="909">
          <cell r="N909">
            <v>0</v>
          </cell>
        </row>
        <row r="910">
          <cell r="N910">
            <v>0</v>
          </cell>
        </row>
        <row r="911">
          <cell r="N911">
            <v>0</v>
          </cell>
        </row>
        <row r="912">
          <cell r="N912">
            <v>0</v>
          </cell>
        </row>
        <row r="913">
          <cell r="N913">
            <v>0</v>
          </cell>
        </row>
        <row r="914">
          <cell r="N914">
            <v>0</v>
          </cell>
        </row>
        <row r="915">
          <cell r="N915">
            <v>0</v>
          </cell>
        </row>
        <row r="916">
          <cell r="N916">
            <v>0</v>
          </cell>
        </row>
        <row r="917">
          <cell r="N917">
            <v>0</v>
          </cell>
        </row>
        <row r="918">
          <cell r="N918">
            <v>0</v>
          </cell>
        </row>
        <row r="919">
          <cell r="N919">
            <v>0</v>
          </cell>
        </row>
        <row r="920">
          <cell r="N920">
            <v>0</v>
          </cell>
        </row>
        <row r="921">
          <cell r="N921">
            <v>0</v>
          </cell>
        </row>
        <row r="922">
          <cell r="N922">
            <v>0</v>
          </cell>
        </row>
        <row r="923">
          <cell r="N923">
            <v>0</v>
          </cell>
        </row>
        <row r="924">
          <cell r="N924">
            <v>0</v>
          </cell>
        </row>
        <row r="925">
          <cell r="N925">
            <v>0</v>
          </cell>
        </row>
        <row r="926">
          <cell r="N926">
            <v>0</v>
          </cell>
        </row>
        <row r="927">
          <cell r="N927">
            <v>0</v>
          </cell>
        </row>
        <row r="928">
          <cell r="N928">
            <v>0</v>
          </cell>
        </row>
        <row r="929">
          <cell r="N929">
            <v>0</v>
          </cell>
        </row>
        <row r="930">
          <cell r="N930">
            <v>0</v>
          </cell>
        </row>
        <row r="931">
          <cell r="N931">
            <v>0</v>
          </cell>
        </row>
        <row r="932">
          <cell r="N932">
            <v>0</v>
          </cell>
        </row>
        <row r="933">
          <cell r="N933">
            <v>0</v>
          </cell>
        </row>
        <row r="934">
          <cell r="N934">
            <v>0</v>
          </cell>
        </row>
        <row r="935">
          <cell r="N935">
            <v>0</v>
          </cell>
        </row>
        <row r="936">
          <cell r="N936">
            <v>0</v>
          </cell>
        </row>
        <row r="937">
          <cell r="N937">
            <v>0</v>
          </cell>
        </row>
        <row r="938">
          <cell r="N938">
            <v>0</v>
          </cell>
        </row>
        <row r="939">
          <cell r="N939">
            <v>0</v>
          </cell>
        </row>
        <row r="940">
          <cell r="N940">
            <v>0</v>
          </cell>
        </row>
        <row r="941">
          <cell r="N941">
            <v>0</v>
          </cell>
        </row>
        <row r="942">
          <cell r="N942">
            <v>0</v>
          </cell>
        </row>
        <row r="943">
          <cell r="N943">
            <v>0</v>
          </cell>
        </row>
        <row r="944">
          <cell r="N944">
            <v>0</v>
          </cell>
        </row>
        <row r="945">
          <cell r="N945">
            <v>0</v>
          </cell>
        </row>
        <row r="946">
          <cell r="N946">
            <v>0</v>
          </cell>
        </row>
        <row r="947">
          <cell r="N947">
            <v>0</v>
          </cell>
        </row>
        <row r="948">
          <cell r="N948">
            <v>0</v>
          </cell>
        </row>
        <row r="949">
          <cell r="N949">
            <v>0</v>
          </cell>
        </row>
        <row r="950">
          <cell r="N950">
            <v>0</v>
          </cell>
        </row>
        <row r="951">
          <cell r="N951">
            <v>0</v>
          </cell>
        </row>
        <row r="952">
          <cell r="N952">
            <v>0</v>
          </cell>
        </row>
        <row r="953">
          <cell r="N953">
            <v>0</v>
          </cell>
        </row>
        <row r="954">
          <cell r="N954">
            <v>0</v>
          </cell>
        </row>
        <row r="955">
          <cell r="N955">
            <v>0</v>
          </cell>
        </row>
        <row r="956">
          <cell r="N956">
            <v>0</v>
          </cell>
        </row>
        <row r="957">
          <cell r="N957">
            <v>0</v>
          </cell>
        </row>
        <row r="958">
          <cell r="N958">
            <v>0</v>
          </cell>
        </row>
        <row r="959">
          <cell r="N959">
            <v>0</v>
          </cell>
        </row>
        <row r="960">
          <cell r="N960">
            <v>0</v>
          </cell>
        </row>
        <row r="961">
          <cell r="N961">
            <v>0</v>
          </cell>
        </row>
        <row r="962">
          <cell r="N962">
            <v>0</v>
          </cell>
        </row>
        <row r="963">
          <cell r="N963">
            <v>0</v>
          </cell>
        </row>
        <row r="964">
          <cell r="N964">
            <v>0</v>
          </cell>
        </row>
        <row r="965">
          <cell r="N965">
            <v>0</v>
          </cell>
        </row>
        <row r="966">
          <cell r="N966">
            <v>0</v>
          </cell>
        </row>
        <row r="967">
          <cell r="N967">
            <v>0</v>
          </cell>
        </row>
        <row r="968">
          <cell r="N968">
            <v>0</v>
          </cell>
        </row>
        <row r="969">
          <cell r="N969">
            <v>0</v>
          </cell>
        </row>
        <row r="970">
          <cell r="N970">
            <v>0</v>
          </cell>
        </row>
        <row r="971">
          <cell r="N971">
            <v>0</v>
          </cell>
        </row>
        <row r="972">
          <cell r="N972">
            <v>0</v>
          </cell>
        </row>
        <row r="973">
          <cell r="N973">
            <v>0</v>
          </cell>
        </row>
        <row r="974">
          <cell r="N974">
            <v>0</v>
          </cell>
        </row>
        <row r="975">
          <cell r="N975">
            <v>0</v>
          </cell>
        </row>
        <row r="976">
          <cell r="N976">
            <v>0</v>
          </cell>
        </row>
        <row r="977">
          <cell r="N977">
            <v>0</v>
          </cell>
        </row>
        <row r="978">
          <cell r="N978">
            <v>0</v>
          </cell>
        </row>
        <row r="979">
          <cell r="N979">
            <v>0</v>
          </cell>
        </row>
        <row r="980">
          <cell r="N980">
            <v>729235.6</v>
          </cell>
        </row>
        <row r="981">
          <cell r="N981">
            <v>0</v>
          </cell>
        </row>
        <row r="982">
          <cell r="N982">
            <v>0</v>
          </cell>
        </row>
        <row r="983">
          <cell r="N983">
            <v>0</v>
          </cell>
        </row>
        <row r="984">
          <cell r="N984">
            <v>0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0</v>
          </cell>
        </row>
        <row r="988">
          <cell r="N988">
            <v>0</v>
          </cell>
        </row>
        <row r="989">
          <cell r="N989">
            <v>0</v>
          </cell>
        </row>
        <row r="990">
          <cell r="N990">
            <v>0</v>
          </cell>
        </row>
        <row r="991">
          <cell r="N991">
            <v>0</v>
          </cell>
        </row>
        <row r="992">
          <cell r="N992">
            <v>0</v>
          </cell>
        </row>
        <row r="993">
          <cell r="N993">
            <v>0</v>
          </cell>
        </row>
        <row r="994">
          <cell r="N994">
            <v>0</v>
          </cell>
        </row>
        <row r="995">
          <cell r="N995">
            <v>0</v>
          </cell>
        </row>
        <row r="996">
          <cell r="N996">
            <v>0</v>
          </cell>
        </row>
        <row r="997">
          <cell r="N997">
            <v>0</v>
          </cell>
        </row>
        <row r="998">
          <cell r="N998">
            <v>0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0</v>
          </cell>
        </row>
        <row r="1003">
          <cell r="N1003">
            <v>0</v>
          </cell>
        </row>
        <row r="1004">
          <cell r="N1004">
            <v>0</v>
          </cell>
        </row>
        <row r="1005">
          <cell r="N1005">
            <v>0</v>
          </cell>
        </row>
        <row r="1006">
          <cell r="N1006">
            <v>0</v>
          </cell>
        </row>
        <row r="1007">
          <cell r="N1007">
            <v>0</v>
          </cell>
        </row>
        <row r="1008">
          <cell r="N1008">
            <v>729235.6</v>
          </cell>
        </row>
        <row r="1009">
          <cell r="N1009">
            <v>286606.48</v>
          </cell>
        </row>
        <row r="1010">
          <cell r="N1010">
            <v>36610.239999999998</v>
          </cell>
        </row>
        <row r="1011">
          <cell r="N1011">
            <v>9229.3799999999992</v>
          </cell>
        </row>
        <row r="1012">
          <cell r="N1012">
            <v>0</v>
          </cell>
        </row>
        <row r="1013">
          <cell r="N1013">
            <v>0</v>
          </cell>
        </row>
        <row r="1014">
          <cell r="N1014">
            <v>0</v>
          </cell>
        </row>
        <row r="1015">
          <cell r="N1015">
            <v>0</v>
          </cell>
        </row>
        <row r="1016">
          <cell r="N1016">
            <v>3005.0699999999997</v>
          </cell>
        </row>
        <row r="1017">
          <cell r="N1017">
            <v>0</v>
          </cell>
        </row>
        <row r="1018">
          <cell r="N1018">
            <v>24375.79</v>
          </cell>
        </row>
        <row r="1019">
          <cell r="N1019">
            <v>0</v>
          </cell>
        </row>
        <row r="1020">
          <cell r="N1020">
            <v>0</v>
          </cell>
        </row>
        <row r="1021">
          <cell r="N1021">
            <v>0</v>
          </cell>
        </row>
        <row r="1022">
          <cell r="N1022">
            <v>249996.24</v>
          </cell>
        </row>
        <row r="1023">
          <cell r="N1023">
            <v>171941</v>
          </cell>
        </row>
        <row r="1024">
          <cell r="N1024">
            <v>0</v>
          </cell>
        </row>
        <row r="1025">
          <cell r="N1025">
            <v>0</v>
          </cell>
        </row>
        <row r="1026">
          <cell r="N1026">
            <v>14952.4</v>
          </cell>
        </row>
        <row r="1027">
          <cell r="N1027">
            <v>44654.2</v>
          </cell>
        </row>
        <row r="1028">
          <cell r="N1028">
            <v>0</v>
          </cell>
        </row>
        <row r="1029">
          <cell r="N1029">
            <v>0</v>
          </cell>
        </row>
        <row r="1030">
          <cell r="N1030">
            <v>0</v>
          </cell>
        </row>
        <row r="1031">
          <cell r="N1031">
            <v>0</v>
          </cell>
        </row>
        <row r="1032">
          <cell r="N1032">
            <v>18448.64</v>
          </cell>
        </row>
        <row r="1033">
          <cell r="N1033">
            <v>0</v>
          </cell>
        </row>
        <row r="1034">
          <cell r="N1034">
            <v>0</v>
          </cell>
        </row>
        <row r="1035">
          <cell r="N1035">
            <v>0</v>
          </cell>
        </row>
        <row r="1036">
          <cell r="N1036">
            <v>0</v>
          </cell>
        </row>
        <row r="1037">
          <cell r="N1037">
            <v>0</v>
          </cell>
        </row>
        <row r="1038">
          <cell r="N1038">
            <v>0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0</v>
          </cell>
        </row>
        <row r="1043">
          <cell r="N1043">
            <v>0</v>
          </cell>
        </row>
        <row r="1044">
          <cell r="N1044">
            <v>0</v>
          </cell>
        </row>
        <row r="1045">
          <cell r="N1045">
            <v>0</v>
          </cell>
        </row>
        <row r="1046">
          <cell r="N1046">
            <v>0</v>
          </cell>
        </row>
        <row r="1047">
          <cell r="N1047">
            <v>0</v>
          </cell>
        </row>
        <row r="1048">
          <cell r="N1048">
            <v>0</v>
          </cell>
        </row>
        <row r="1049">
          <cell r="N1049">
            <v>0</v>
          </cell>
        </row>
        <row r="1050">
          <cell r="N1050">
            <v>0</v>
          </cell>
        </row>
        <row r="1051">
          <cell r="N1051">
            <v>0</v>
          </cell>
        </row>
        <row r="1052">
          <cell r="N1052">
            <v>0</v>
          </cell>
        </row>
        <row r="1053">
          <cell r="N1053">
            <v>0</v>
          </cell>
        </row>
        <row r="1054">
          <cell r="N1054">
            <v>0</v>
          </cell>
        </row>
        <row r="1055">
          <cell r="N1055">
            <v>0</v>
          </cell>
        </row>
        <row r="1056">
          <cell r="N1056">
            <v>0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0</v>
          </cell>
        </row>
        <row r="1060">
          <cell r="N1060">
            <v>0</v>
          </cell>
        </row>
        <row r="1061">
          <cell r="N1061">
            <v>0</v>
          </cell>
        </row>
        <row r="1062">
          <cell r="N1062">
            <v>0</v>
          </cell>
        </row>
        <row r="1063">
          <cell r="N1063">
            <v>0</v>
          </cell>
        </row>
        <row r="1064">
          <cell r="N1064">
            <v>0</v>
          </cell>
        </row>
        <row r="1065">
          <cell r="N1065">
            <v>0</v>
          </cell>
        </row>
        <row r="1066">
          <cell r="N1066">
            <v>0</v>
          </cell>
        </row>
        <row r="1067">
          <cell r="N1067">
            <v>0</v>
          </cell>
        </row>
        <row r="1068">
          <cell r="N1068">
            <v>0</v>
          </cell>
        </row>
        <row r="1069">
          <cell r="N1069">
            <v>437952</v>
          </cell>
        </row>
        <row r="1070">
          <cell r="N1070">
            <v>437952</v>
          </cell>
        </row>
        <row r="1071">
          <cell r="N1071">
            <v>437952</v>
          </cell>
        </row>
        <row r="1072">
          <cell r="N1072">
            <v>4677.12</v>
          </cell>
        </row>
        <row r="1073">
          <cell r="N1073">
            <v>4677.12</v>
          </cell>
        </row>
        <row r="1074">
          <cell r="N1074">
            <v>4677.12</v>
          </cell>
        </row>
        <row r="1075">
          <cell r="N1075">
            <v>0</v>
          </cell>
        </row>
        <row r="1076">
          <cell r="N1076">
            <v>0</v>
          </cell>
        </row>
        <row r="1077">
          <cell r="N1077">
            <v>0</v>
          </cell>
        </row>
        <row r="1078">
          <cell r="N1078">
            <v>0</v>
          </cell>
        </row>
        <row r="1079">
          <cell r="N1079">
            <v>0</v>
          </cell>
        </row>
        <row r="1080">
          <cell r="N1080">
            <v>0</v>
          </cell>
        </row>
        <row r="1081">
          <cell r="N1081">
            <v>0</v>
          </cell>
        </row>
        <row r="1082">
          <cell r="N1082">
            <v>0</v>
          </cell>
        </row>
        <row r="1083">
          <cell r="N1083">
            <v>0</v>
          </cell>
        </row>
        <row r="1084">
          <cell r="N1084">
            <v>0</v>
          </cell>
        </row>
        <row r="1085">
          <cell r="N1085">
            <v>0</v>
          </cell>
        </row>
        <row r="1086">
          <cell r="N1086">
            <v>0</v>
          </cell>
        </row>
        <row r="1087">
          <cell r="N1087">
            <v>0</v>
          </cell>
        </row>
        <row r="1088">
          <cell r="N1088">
            <v>0</v>
          </cell>
        </row>
        <row r="1089">
          <cell r="N1089">
            <v>0</v>
          </cell>
        </row>
        <row r="1090">
          <cell r="N1090">
            <v>0</v>
          </cell>
        </row>
        <row r="1091">
          <cell r="N1091">
            <v>0</v>
          </cell>
        </row>
        <row r="1092">
          <cell r="N1092">
            <v>0</v>
          </cell>
        </row>
        <row r="1093">
          <cell r="N1093">
            <v>0</v>
          </cell>
        </row>
        <row r="1094">
          <cell r="N1094">
            <v>0</v>
          </cell>
        </row>
        <row r="1095">
          <cell r="N1095">
            <v>0</v>
          </cell>
        </row>
        <row r="1096">
          <cell r="N1096">
            <v>0</v>
          </cell>
        </row>
        <row r="1097">
          <cell r="N1097">
            <v>0</v>
          </cell>
        </row>
        <row r="1098">
          <cell r="N1098">
            <v>0</v>
          </cell>
        </row>
        <row r="1099">
          <cell r="N1099">
            <v>0</v>
          </cell>
        </row>
        <row r="1100">
          <cell r="N1100">
            <v>0</v>
          </cell>
        </row>
        <row r="1101">
          <cell r="N1101">
            <v>0</v>
          </cell>
        </row>
        <row r="1102">
          <cell r="N1102">
            <v>0</v>
          </cell>
        </row>
        <row r="1103">
          <cell r="N1103">
            <v>0</v>
          </cell>
        </row>
        <row r="1104">
          <cell r="N1104">
            <v>0</v>
          </cell>
        </row>
        <row r="1105">
          <cell r="N1105">
            <v>0</v>
          </cell>
        </row>
        <row r="1106">
          <cell r="N1106">
            <v>0</v>
          </cell>
        </row>
        <row r="1107">
          <cell r="N1107">
            <v>0</v>
          </cell>
        </row>
        <row r="1108">
          <cell r="N1108">
            <v>0</v>
          </cell>
        </row>
        <row r="1109">
          <cell r="N1109">
            <v>0</v>
          </cell>
        </row>
        <row r="1110">
          <cell r="N1110">
            <v>0</v>
          </cell>
        </row>
        <row r="1111">
          <cell r="N1111">
            <v>0</v>
          </cell>
        </row>
        <row r="1112">
          <cell r="N1112">
            <v>0</v>
          </cell>
        </row>
        <row r="1113">
          <cell r="N1113">
            <v>0</v>
          </cell>
        </row>
        <row r="1114">
          <cell r="N1114">
            <v>0</v>
          </cell>
        </row>
        <row r="1115">
          <cell r="N1115">
            <v>0</v>
          </cell>
        </row>
        <row r="1116">
          <cell r="N1116">
            <v>0</v>
          </cell>
        </row>
        <row r="1117">
          <cell r="N1117">
            <v>0</v>
          </cell>
        </row>
        <row r="1118">
          <cell r="N1118">
            <v>0</v>
          </cell>
        </row>
        <row r="1119">
          <cell r="N1119">
            <v>0</v>
          </cell>
        </row>
        <row r="1120">
          <cell r="N1120">
            <v>0</v>
          </cell>
        </row>
        <row r="1121">
          <cell r="N1121">
            <v>0</v>
          </cell>
        </row>
        <row r="1122">
          <cell r="N1122">
            <v>0</v>
          </cell>
        </row>
        <row r="1123">
          <cell r="N1123">
            <v>0</v>
          </cell>
        </row>
        <row r="1124">
          <cell r="N1124">
            <v>0</v>
          </cell>
        </row>
        <row r="1125">
          <cell r="N1125">
            <v>0</v>
          </cell>
        </row>
        <row r="1126">
          <cell r="N1126">
            <v>0</v>
          </cell>
        </row>
        <row r="1127">
          <cell r="N1127">
            <v>0</v>
          </cell>
        </row>
        <row r="1128">
          <cell r="N1128">
            <v>0</v>
          </cell>
        </row>
        <row r="1129">
          <cell r="N1129">
            <v>0</v>
          </cell>
        </row>
        <row r="1130">
          <cell r="N1130">
            <v>0</v>
          </cell>
        </row>
        <row r="1131">
          <cell r="N1131">
            <v>0</v>
          </cell>
        </row>
        <row r="1132">
          <cell r="N1132">
            <v>0</v>
          </cell>
        </row>
        <row r="1133">
          <cell r="N1133">
            <v>0</v>
          </cell>
        </row>
        <row r="1134">
          <cell r="N1134">
            <v>0</v>
          </cell>
        </row>
        <row r="1135">
          <cell r="N1135">
            <v>0</v>
          </cell>
        </row>
        <row r="1136">
          <cell r="N1136">
            <v>0</v>
          </cell>
        </row>
        <row r="1137">
          <cell r="N1137">
            <v>0</v>
          </cell>
        </row>
        <row r="1138">
          <cell r="N1138">
            <v>0</v>
          </cell>
        </row>
        <row r="1139">
          <cell r="N1139">
            <v>0</v>
          </cell>
        </row>
        <row r="1140">
          <cell r="N1140">
            <v>0</v>
          </cell>
        </row>
        <row r="1141">
          <cell r="N1141">
            <v>0</v>
          </cell>
        </row>
        <row r="1142">
          <cell r="N1142">
            <v>0</v>
          </cell>
        </row>
        <row r="1143">
          <cell r="N1143">
            <v>0</v>
          </cell>
        </row>
        <row r="1144">
          <cell r="N1144">
            <v>0</v>
          </cell>
        </row>
        <row r="1145">
          <cell r="N1145">
            <v>0</v>
          </cell>
        </row>
        <row r="1146">
          <cell r="N1146">
            <v>0</v>
          </cell>
        </row>
        <row r="1147">
          <cell r="N1147">
            <v>0</v>
          </cell>
        </row>
        <row r="1148">
          <cell r="N1148">
            <v>0</v>
          </cell>
        </row>
        <row r="1149">
          <cell r="N1149">
            <v>0</v>
          </cell>
        </row>
        <row r="1150">
          <cell r="N1150">
            <v>0</v>
          </cell>
        </row>
        <row r="1151">
          <cell r="N1151">
            <v>0</v>
          </cell>
        </row>
        <row r="1152">
          <cell r="N1152">
            <v>0</v>
          </cell>
        </row>
        <row r="1153">
          <cell r="N1153">
            <v>0</v>
          </cell>
        </row>
        <row r="1154">
          <cell r="N1154">
            <v>0</v>
          </cell>
        </row>
        <row r="1155">
          <cell r="N1155">
            <v>0</v>
          </cell>
        </row>
        <row r="1156">
          <cell r="N1156">
            <v>0</v>
          </cell>
        </row>
        <row r="1157">
          <cell r="N1157">
            <v>0</v>
          </cell>
        </row>
        <row r="1158">
          <cell r="N1158">
            <v>0</v>
          </cell>
        </row>
        <row r="1159">
          <cell r="N1159">
            <v>0</v>
          </cell>
        </row>
        <row r="1160">
          <cell r="N1160">
            <v>0</v>
          </cell>
        </row>
        <row r="1161">
          <cell r="N1161">
            <v>0</v>
          </cell>
        </row>
        <row r="1162">
          <cell r="N1162">
            <v>0</v>
          </cell>
        </row>
        <row r="1163">
          <cell r="N1163">
            <v>0</v>
          </cell>
        </row>
        <row r="1164">
          <cell r="N1164">
            <v>0</v>
          </cell>
        </row>
        <row r="1165">
          <cell r="N1165">
            <v>0</v>
          </cell>
        </row>
        <row r="1166">
          <cell r="N1166">
            <v>0</v>
          </cell>
        </row>
        <row r="1167">
          <cell r="N1167">
            <v>0</v>
          </cell>
        </row>
        <row r="1168">
          <cell r="N1168">
            <v>0</v>
          </cell>
        </row>
        <row r="1169">
          <cell r="N1169">
            <v>1594591.81</v>
          </cell>
        </row>
        <row r="1170">
          <cell r="N1170">
            <v>0</v>
          </cell>
        </row>
        <row r="1171">
          <cell r="N1171">
            <v>0</v>
          </cell>
        </row>
        <row r="1172">
          <cell r="N1172">
            <v>0</v>
          </cell>
        </row>
        <row r="1173">
          <cell r="N1173">
            <v>0</v>
          </cell>
        </row>
        <row r="1174">
          <cell r="N1174">
            <v>0</v>
          </cell>
        </row>
        <row r="1175">
          <cell r="N1175">
            <v>0</v>
          </cell>
        </row>
        <row r="1176">
          <cell r="N1176">
            <v>0</v>
          </cell>
        </row>
        <row r="1177">
          <cell r="N1177">
            <v>0</v>
          </cell>
        </row>
        <row r="1178">
          <cell r="N1178">
            <v>0</v>
          </cell>
        </row>
        <row r="1179">
          <cell r="N1179">
            <v>0</v>
          </cell>
        </row>
        <row r="1180">
          <cell r="N1180">
            <v>0</v>
          </cell>
        </row>
        <row r="1181">
          <cell r="N1181">
            <v>0</v>
          </cell>
        </row>
        <row r="1182">
          <cell r="N1182">
            <v>0</v>
          </cell>
        </row>
        <row r="1183">
          <cell r="N1183">
            <v>0</v>
          </cell>
        </row>
        <row r="1184">
          <cell r="N1184">
            <v>0</v>
          </cell>
        </row>
        <row r="1185">
          <cell r="N1185">
            <v>0</v>
          </cell>
        </row>
        <row r="1186">
          <cell r="N1186">
            <v>0</v>
          </cell>
        </row>
        <row r="1187">
          <cell r="N1187">
            <v>0</v>
          </cell>
        </row>
        <row r="1188">
          <cell r="N1188">
            <v>0</v>
          </cell>
        </row>
        <row r="1189">
          <cell r="N1189">
            <v>0</v>
          </cell>
        </row>
        <row r="1190">
          <cell r="N1190">
            <v>0</v>
          </cell>
        </row>
        <row r="1191">
          <cell r="N1191">
            <v>0</v>
          </cell>
        </row>
        <row r="1192">
          <cell r="N1192">
            <v>0</v>
          </cell>
        </row>
        <row r="1193">
          <cell r="N1193">
            <v>0</v>
          </cell>
        </row>
        <row r="1194">
          <cell r="N1194">
            <v>0</v>
          </cell>
        </row>
        <row r="1195">
          <cell r="N1195">
            <v>0</v>
          </cell>
        </row>
        <row r="1196">
          <cell r="N1196">
            <v>0</v>
          </cell>
        </row>
        <row r="1197">
          <cell r="N1197">
            <v>0</v>
          </cell>
        </row>
        <row r="1198">
          <cell r="N1198">
            <v>0</v>
          </cell>
        </row>
        <row r="1199">
          <cell r="N1199">
            <v>0</v>
          </cell>
        </row>
        <row r="1200">
          <cell r="N1200">
            <v>0</v>
          </cell>
        </row>
        <row r="1201">
          <cell r="N1201">
            <v>1032351.5700000001</v>
          </cell>
        </row>
        <row r="1202">
          <cell r="N1202">
            <v>0</v>
          </cell>
        </row>
        <row r="1203">
          <cell r="N1203">
            <v>0</v>
          </cell>
        </row>
        <row r="1204">
          <cell r="N1204">
            <v>0</v>
          </cell>
        </row>
        <row r="1205">
          <cell r="N1205">
            <v>1032351.5700000001</v>
          </cell>
        </row>
        <row r="1206">
          <cell r="N1206">
            <v>1032351.5700000001</v>
          </cell>
        </row>
        <row r="1207">
          <cell r="N1207">
            <v>1032351.5700000001</v>
          </cell>
        </row>
        <row r="1208">
          <cell r="N1208">
            <v>0</v>
          </cell>
        </row>
        <row r="1209">
          <cell r="N1209">
            <v>0</v>
          </cell>
        </row>
        <row r="1210">
          <cell r="N1210">
            <v>0</v>
          </cell>
        </row>
        <row r="1211">
          <cell r="N1211">
            <v>0</v>
          </cell>
        </row>
        <row r="1212">
          <cell r="N1212">
            <v>0</v>
          </cell>
        </row>
        <row r="1213">
          <cell r="N1213">
            <v>0</v>
          </cell>
        </row>
        <row r="1214">
          <cell r="N1214">
            <v>0</v>
          </cell>
        </row>
        <row r="1215">
          <cell r="N1215">
            <v>0</v>
          </cell>
        </row>
        <row r="1216">
          <cell r="N1216">
            <v>562240.24</v>
          </cell>
        </row>
        <row r="1217">
          <cell r="N1217">
            <v>543080.13</v>
          </cell>
        </row>
        <row r="1218">
          <cell r="N1218">
            <v>24483.57</v>
          </cell>
        </row>
        <row r="1219">
          <cell r="N1219">
            <v>9517.8000000000011</v>
          </cell>
        </row>
        <row r="1220">
          <cell r="N1220">
            <v>0</v>
          </cell>
        </row>
        <row r="1221">
          <cell r="N1221">
            <v>0</v>
          </cell>
        </row>
        <row r="1222">
          <cell r="N1222">
            <v>0</v>
          </cell>
        </row>
        <row r="1223">
          <cell r="N1223">
            <v>0</v>
          </cell>
        </row>
        <row r="1224">
          <cell r="N1224">
            <v>6926.97</v>
          </cell>
        </row>
        <row r="1225">
          <cell r="N1225">
            <v>0</v>
          </cell>
        </row>
        <row r="1226">
          <cell r="N1226">
            <v>0</v>
          </cell>
        </row>
        <row r="1227">
          <cell r="N1227">
            <v>0</v>
          </cell>
        </row>
        <row r="1228">
          <cell r="N1228">
            <v>8038.8</v>
          </cell>
        </row>
        <row r="1229">
          <cell r="N1229">
            <v>0</v>
          </cell>
        </row>
        <row r="1230">
          <cell r="N1230">
            <v>0</v>
          </cell>
        </row>
        <row r="1231">
          <cell r="N1231">
            <v>0</v>
          </cell>
        </row>
        <row r="1232">
          <cell r="N1232">
            <v>0</v>
          </cell>
        </row>
        <row r="1233">
          <cell r="N1233">
            <v>0</v>
          </cell>
        </row>
        <row r="1234">
          <cell r="N1234">
            <v>0</v>
          </cell>
        </row>
        <row r="1235">
          <cell r="N1235">
            <v>0</v>
          </cell>
        </row>
        <row r="1236">
          <cell r="N1236">
            <v>0</v>
          </cell>
        </row>
        <row r="1237">
          <cell r="N1237">
            <v>0</v>
          </cell>
        </row>
        <row r="1238">
          <cell r="N1238">
            <v>0</v>
          </cell>
        </row>
        <row r="1239">
          <cell r="N1239">
            <v>0</v>
          </cell>
        </row>
        <row r="1240">
          <cell r="N1240">
            <v>0</v>
          </cell>
        </row>
        <row r="1241">
          <cell r="N1241">
            <v>0</v>
          </cell>
        </row>
        <row r="1242">
          <cell r="N1242">
            <v>0</v>
          </cell>
        </row>
        <row r="1243">
          <cell r="N1243">
            <v>0</v>
          </cell>
        </row>
        <row r="1244">
          <cell r="N1244">
            <v>0</v>
          </cell>
        </row>
        <row r="1245">
          <cell r="N1245">
            <v>0</v>
          </cell>
        </row>
        <row r="1246">
          <cell r="N1246">
            <v>0</v>
          </cell>
        </row>
        <row r="1247">
          <cell r="N1247">
            <v>0</v>
          </cell>
        </row>
        <row r="1248">
          <cell r="N1248">
            <v>0</v>
          </cell>
        </row>
        <row r="1249">
          <cell r="N1249">
            <v>0</v>
          </cell>
        </row>
        <row r="1250">
          <cell r="N1250">
            <v>0</v>
          </cell>
        </row>
        <row r="1251">
          <cell r="N1251">
            <v>518596.56</v>
          </cell>
        </row>
        <row r="1252">
          <cell r="N1252">
            <v>221328</v>
          </cell>
        </row>
        <row r="1253">
          <cell r="N1253">
            <v>0</v>
          </cell>
        </row>
        <row r="1254">
          <cell r="N1254">
            <v>0</v>
          </cell>
        </row>
        <row r="1255">
          <cell r="N1255">
            <v>0</v>
          </cell>
        </row>
        <row r="1256">
          <cell r="N1256">
            <v>0</v>
          </cell>
        </row>
        <row r="1257">
          <cell r="N1257">
            <v>0</v>
          </cell>
        </row>
        <row r="1258">
          <cell r="N1258">
            <v>0</v>
          </cell>
        </row>
        <row r="1259">
          <cell r="N1259">
            <v>0</v>
          </cell>
        </row>
        <row r="1260">
          <cell r="N1260">
            <v>0</v>
          </cell>
        </row>
        <row r="1261">
          <cell r="N1261">
            <v>0</v>
          </cell>
        </row>
        <row r="1262">
          <cell r="N1262">
            <v>276184.40000000002</v>
          </cell>
        </row>
        <row r="1263">
          <cell r="N1263">
            <v>0</v>
          </cell>
        </row>
        <row r="1264">
          <cell r="N1264">
            <v>0</v>
          </cell>
        </row>
        <row r="1265">
          <cell r="N1265">
            <v>0</v>
          </cell>
        </row>
        <row r="1266">
          <cell r="N1266">
            <v>21084.16</v>
          </cell>
        </row>
        <row r="1267">
          <cell r="N1267">
            <v>0</v>
          </cell>
        </row>
        <row r="1268">
          <cell r="N1268">
            <v>0</v>
          </cell>
        </row>
        <row r="1269">
          <cell r="N1269">
            <v>0</v>
          </cell>
        </row>
        <row r="1270">
          <cell r="N1270">
            <v>0</v>
          </cell>
        </row>
        <row r="1271">
          <cell r="N1271">
            <v>0</v>
          </cell>
        </row>
        <row r="1272">
          <cell r="N1272">
            <v>0</v>
          </cell>
        </row>
        <row r="1273">
          <cell r="N1273">
            <v>0</v>
          </cell>
        </row>
        <row r="1274">
          <cell r="N1274">
            <v>0</v>
          </cell>
        </row>
        <row r="1275">
          <cell r="N1275">
            <v>0</v>
          </cell>
        </row>
        <row r="1276">
          <cell r="N1276">
            <v>0</v>
          </cell>
        </row>
        <row r="1277">
          <cell r="N1277">
            <v>0</v>
          </cell>
        </row>
        <row r="1278">
          <cell r="N1278">
            <v>19160.11</v>
          </cell>
        </row>
        <row r="1279">
          <cell r="N1279">
            <v>11000</v>
          </cell>
        </row>
        <row r="1280">
          <cell r="N1280">
            <v>0</v>
          </cell>
        </row>
        <row r="1281">
          <cell r="N1281">
            <v>0</v>
          </cell>
        </row>
        <row r="1282">
          <cell r="N1282">
            <v>0</v>
          </cell>
        </row>
        <row r="1283">
          <cell r="N1283">
            <v>0</v>
          </cell>
        </row>
        <row r="1284">
          <cell r="N1284">
            <v>0</v>
          </cell>
        </row>
        <row r="1285">
          <cell r="N1285">
            <v>11000</v>
          </cell>
        </row>
        <row r="1286">
          <cell r="N1286">
            <v>0</v>
          </cell>
        </row>
        <row r="1287">
          <cell r="N1287">
            <v>8160.1100000000006</v>
          </cell>
        </row>
        <row r="1288">
          <cell r="N1288">
            <v>8160.1100000000006</v>
          </cell>
        </row>
        <row r="1289">
          <cell r="N1289">
            <v>0</v>
          </cell>
        </row>
        <row r="1290">
          <cell r="N1290">
            <v>0</v>
          </cell>
        </row>
        <row r="1291">
          <cell r="N1291">
            <v>0</v>
          </cell>
        </row>
        <row r="1292">
          <cell r="N1292">
            <v>0</v>
          </cell>
        </row>
        <row r="1293">
          <cell r="N1293">
            <v>0</v>
          </cell>
        </row>
        <row r="1294">
          <cell r="N1294">
            <v>0</v>
          </cell>
        </row>
        <row r="1295">
          <cell r="N1295">
            <v>0</v>
          </cell>
        </row>
        <row r="1296">
          <cell r="N1296">
            <v>0</v>
          </cell>
        </row>
        <row r="1297">
          <cell r="N1297">
            <v>0</v>
          </cell>
        </row>
        <row r="1298">
          <cell r="N1298">
            <v>0</v>
          </cell>
        </row>
        <row r="1299">
          <cell r="N1299">
            <v>0</v>
          </cell>
        </row>
        <row r="1300">
          <cell r="N1300">
            <v>0</v>
          </cell>
        </row>
        <row r="1301">
          <cell r="N1301">
            <v>0</v>
          </cell>
        </row>
        <row r="1302">
          <cell r="N1302">
            <v>0</v>
          </cell>
        </row>
        <row r="1303">
          <cell r="N1303">
            <v>0</v>
          </cell>
        </row>
        <row r="1304">
          <cell r="N1304">
            <v>0</v>
          </cell>
        </row>
        <row r="1305">
          <cell r="N1305">
            <v>0</v>
          </cell>
        </row>
        <row r="1306">
          <cell r="N1306">
            <v>0</v>
          </cell>
        </row>
        <row r="1307">
          <cell r="N1307">
            <v>0</v>
          </cell>
        </row>
        <row r="1308">
          <cell r="N1308">
            <v>0</v>
          </cell>
        </row>
        <row r="1309">
          <cell r="N1309">
            <v>0</v>
          </cell>
        </row>
        <row r="1310">
          <cell r="N1310">
            <v>0</v>
          </cell>
        </row>
        <row r="1311">
          <cell r="N1311">
            <v>0</v>
          </cell>
        </row>
        <row r="1312">
          <cell r="N1312">
            <v>0</v>
          </cell>
        </row>
        <row r="1313">
          <cell r="N1313">
            <v>0</v>
          </cell>
        </row>
        <row r="1314">
          <cell r="N1314">
            <v>0</v>
          </cell>
        </row>
        <row r="1315">
          <cell r="N1315">
            <v>0</v>
          </cell>
        </row>
        <row r="1316">
          <cell r="N1316">
            <v>0</v>
          </cell>
        </row>
        <row r="1317">
          <cell r="N1317">
            <v>0</v>
          </cell>
        </row>
        <row r="1318">
          <cell r="N1318">
            <v>0</v>
          </cell>
        </row>
        <row r="1319">
          <cell r="N1319">
            <v>0</v>
          </cell>
        </row>
        <row r="1320">
          <cell r="N1320">
            <v>0</v>
          </cell>
        </row>
        <row r="1321">
          <cell r="N1321">
            <v>0</v>
          </cell>
        </row>
        <row r="1322">
          <cell r="N1322">
            <v>0</v>
          </cell>
        </row>
        <row r="1323">
          <cell r="N1323">
            <v>0</v>
          </cell>
        </row>
        <row r="1324">
          <cell r="N1324">
            <v>0</v>
          </cell>
        </row>
        <row r="1325">
          <cell r="N1325">
            <v>0</v>
          </cell>
        </row>
        <row r="1326">
          <cell r="N1326">
            <v>0</v>
          </cell>
        </row>
        <row r="1327">
          <cell r="N1327">
            <v>0</v>
          </cell>
        </row>
        <row r="1328">
          <cell r="N1328">
            <v>0</v>
          </cell>
        </row>
        <row r="1329">
          <cell r="N1329">
            <v>0</v>
          </cell>
        </row>
        <row r="1330">
          <cell r="N1330">
            <v>0</v>
          </cell>
        </row>
        <row r="1331">
          <cell r="N1331">
            <v>0</v>
          </cell>
        </row>
        <row r="1332">
          <cell r="N1332">
            <v>0</v>
          </cell>
        </row>
        <row r="1333">
          <cell r="N1333">
            <v>0</v>
          </cell>
        </row>
        <row r="1334">
          <cell r="N1334">
            <v>0</v>
          </cell>
        </row>
        <row r="1335">
          <cell r="N1335">
            <v>0</v>
          </cell>
        </row>
        <row r="1336">
          <cell r="N1336">
            <v>0</v>
          </cell>
        </row>
        <row r="1337">
          <cell r="N1337">
            <v>0</v>
          </cell>
        </row>
        <row r="1338">
          <cell r="N1338">
            <v>0</v>
          </cell>
        </row>
        <row r="1339">
          <cell r="N1339">
            <v>0</v>
          </cell>
        </row>
        <row r="1340">
          <cell r="N1340">
            <v>0</v>
          </cell>
        </row>
        <row r="1341">
          <cell r="N1341">
            <v>0</v>
          </cell>
        </row>
        <row r="1342">
          <cell r="N1342">
            <v>0</v>
          </cell>
        </row>
        <row r="1343">
          <cell r="N1343">
            <v>0</v>
          </cell>
        </row>
        <row r="1344">
          <cell r="N1344">
            <v>0</v>
          </cell>
        </row>
        <row r="1345">
          <cell r="N1345">
            <v>0</v>
          </cell>
        </row>
        <row r="1346">
          <cell r="N1346">
            <v>0</v>
          </cell>
        </row>
        <row r="1347">
          <cell r="N1347">
            <v>0</v>
          </cell>
        </row>
        <row r="1348">
          <cell r="N1348">
            <v>0</v>
          </cell>
        </row>
        <row r="1349">
          <cell r="N1349">
            <v>0</v>
          </cell>
        </row>
        <row r="1350">
          <cell r="N1350">
            <v>0</v>
          </cell>
        </row>
        <row r="1351">
          <cell r="N1351">
            <v>0</v>
          </cell>
        </row>
        <row r="1352">
          <cell r="N1352">
            <v>0</v>
          </cell>
        </row>
        <row r="1353">
          <cell r="N1353">
            <v>0</v>
          </cell>
        </row>
        <row r="1354">
          <cell r="N1354">
            <v>0</v>
          </cell>
        </row>
        <row r="1355">
          <cell r="N1355">
            <v>0</v>
          </cell>
        </row>
        <row r="1356">
          <cell r="N1356">
            <v>41120070.760000005</v>
          </cell>
        </row>
        <row r="1357">
          <cell r="N1357">
            <v>3993.3</v>
          </cell>
        </row>
        <row r="1358">
          <cell r="N1358">
            <v>0</v>
          </cell>
        </row>
        <row r="1359">
          <cell r="N1359">
            <v>0</v>
          </cell>
        </row>
        <row r="1360">
          <cell r="N1360">
            <v>0</v>
          </cell>
        </row>
        <row r="1361">
          <cell r="N1361">
            <v>0</v>
          </cell>
        </row>
        <row r="1362">
          <cell r="N1362">
            <v>0</v>
          </cell>
        </row>
        <row r="1363">
          <cell r="N1363">
            <v>0</v>
          </cell>
        </row>
        <row r="1364">
          <cell r="N1364">
            <v>0</v>
          </cell>
        </row>
        <row r="1365">
          <cell r="N1365">
            <v>0</v>
          </cell>
        </row>
        <row r="1366">
          <cell r="N1366">
            <v>0</v>
          </cell>
        </row>
        <row r="1367">
          <cell r="N1367">
            <v>0</v>
          </cell>
        </row>
        <row r="1368">
          <cell r="N1368">
            <v>0</v>
          </cell>
        </row>
        <row r="1369">
          <cell r="N1369">
            <v>0</v>
          </cell>
        </row>
        <row r="1370">
          <cell r="N1370">
            <v>0</v>
          </cell>
        </row>
        <row r="1371">
          <cell r="N1371">
            <v>3993.3</v>
          </cell>
        </row>
        <row r="1372">
          <cell r="N1372">
            <v>0</v>
          </cell>
        </row>
        <row r="1373">
          <cell r="N1373">
            <v>0</v>
          </cell>
        </row>
        <row r="1374">
          <cell r="N1374">
            <v>3993.3</v>
          </cell>
        </row>
        <row r="1375">
          <cell r="N1375">
            <v>3993.3</v>
          </cell>
        </row>
        <row r="1376">
          <cell r="N1376">
            <v>4978370</v>
          </cell>
        </row>
        <row r="1377">
          <cell r="N1377">
            <v>0</v>
          </cell>
        </row>
        <row r="1378">
          <cell r="N1378">
            <v>0</v>
          </cell>
        </row>
        <row r="1379">
          <cell r="N1379">
            <v>0</v>
          </cell>
        </row>
        <row r="1380">
          <cell r="N1380">
            <v>4978370</v>
          </cell>
        </row>
        <row r="1381">
          <cell r="N1381">
            <v>0</v>
          </cell>
        </row>
        <row r="1382">
          <cell r="N1382">
            <v>0</v>
          </cell>
        </row>
        <row r="1383">
          <cell r="N1383">
            <v>0</v>
          </cell>
        </row>
        <row r="1384">
          <cell r="N1384">
            <v>0</v>
          </cell>
        </row>
        <row r="1385">
          <cell r="N1385">
            <v>0</v>
          </cell>
        </row>
        <row r="1386">
          <cell r="N1386">
            <v>0</v>
          </cell>
        </row>
        <row r="1387">
          <cell r="N1387">
            <v>0</v>
          </cell>
        </row>
        <row r="1388">
          <cell r="N1388">
            <v>0</v>
          </cell>
        </row>
        <row r="1389">
          <cell r="N1389">
            <v>0</v>
          </cell>
        </row>
        <row r="1390">
          <cell r="N1390">
            <v>0</v>
          </cell>
        </row>
        <row r="1391">
          <cell r="N1391">
            <v>0</v>
          </cell>
        </row>
        <row r="1392">
          <cell r="N1392">
            <v>0</v>
          </cell>
        </row>
        <row r="1393">
          <cell r="N1393">
            <v>4978370</v>
          </cell>
        </row>
        <row r="1394">
          <cell r="N1394">
            <v>0</v>
          </cell>
        </row>
        <row r="1395">
          <cell r="N1395">
            <v>360000</v>
          </cell>
        </row>
        <row r="1396">
          <cell r="N1396">
            <v>720000</v>
          </cell>
        </row>
        <row r="1397">
          <cell r="N1397">
            <v>240000</v>
          </cell>
        </row>
        <row r="1398">
          <cell r="N1398">
            <v>240000</v>
          </cell>
        </row>
        <row r="1399">
          <cell r="N1399">
            <v>2450000</v>
          </cell>
        </row>
        <row r="1400">
          <cell r="N1400">
            <v>0</v>
          </cell>
        </row>
        <row r="1401">
          <cell r="N1401">
            <v>0</v>
          </cell>
        </row>
        <row r="1402">
          <cell r="N1402">
            <v>968370</v>
          </cell>
        </row>
        <row r="1403">
          <cell r="N1403">
            <v>0</v>
          </cell>
        </row>
        <row r="1404">
          <cell r="N1404">
            <v>0</v>
          </cell>
        </row>
        <row r="1405">
          <cell r="N1405">
            <v>0</v>
          </cell>
        </row>
        <row r="1406">
          <cell r="N1406">
            <v>9870619.4600000009</v>
          </cell>
        </row>
        <row r="1407">
          <cell r="N1407">
            <v>4851554</v>
          </cell>
        </row>
        <row r="1408">
          <cell r="N1408">
            <v>1069110</v>
          </cell>
        </row>
        <row r="1409">
          <cell r="N1409">
            <v>33000</v>
          </cell>
        </row>
        <row r="1410">
          <cell r="N1410">
            <v>155000</v>
          </cell>
        </row>
        <row r="1411">
          <cell r="N1411">
            <v>0</v>
          </cell>
        </row>
        <row r="1412">
          <cell r="N1412">
            <v>0</v>
          </cell>
        </row>
        <row r="1413">
          <cell r="N1413">
            <v>0</v>
          </cell>
        </row>
        <row r="1414">
          <cell r="N1414">
            <v>0</v>
          </cell>
        </row>
        <row r="1415">
          <cell r="N1415">
            <v>0</v>
          </cell>
        </row>
        <row r="1416">
          <cell r="N1416">
            <v>0</v>
          </cell>
        </row>
        <row r="1417">
          <cell r="N1417">
            <v>0</v>
          </cell>
        </row>
        <row r="1418">
          <cell r="N1418">
            <v>0</v>
          </cell>
        </row>
        <row r="1419">
          <cell r="N1419">
            <v>0</v>
          </cell>
        </row>
        <row r="1420">
          <cell r="N1420">
            <v>0</v>
          </cell>
        </row>
        <row r="1421">
          <cell r="N1421">
            <v>358080</v>
          </cell>
        </row>
        <row r="1422">
          <cell r="N1422">
            <v>0</v>
          </cell>
        </row>
        <row r="1423">
          <cell r="N1423">
            <v>0</v>
          </cell>
        </row>
        <row r="1424">
          <cell r="N1424">
            <v>15000</v>
          </cell>
        </row>
        <row r="1425">
          <cell r="N1425">
            <v>10200</v>
          </cell>
        </row>
        <row r="1426">
          <cell r="N1426">
            <v>5000</v>
          </cell>
        </row>
        <row r="1427">
          <cell r="N1427">
            <v>38000</v>
          </cell>
        </row>
        <row r="1428">
          <cell r="N1428">
            <v>0</v>
          </cell>
        </row>
        <row r="1429">
          <cell r="N1429">
            <v>0</v>
          </cell>
        </row>
        <row r="1430">
          <cell r="N1430">
            <v>0</v>
          </cell>
        </row>
        <row r="1431">
          <cell r="N1431">
            <v>0</v>
          </cell>
        </row>
        <row r="1432">
          <cell r="N1432">
            <v>0</v>
          </cell>
        </row>
        <row r="1433">
          <cell r="N1433">
            <v>120000</v>
          </cell>
        </row>
        <row r="1434">
          <cell r="N1434">
            <v>49000</v>
          </cell>
        </row>
        <row r="1435">
          <cell r="N1435">
            <v>285830</v>
          </cell>
        </row>
        <row r="1436">
          <cell r="N1436">
            <v>0</v>
          </cell>
        </row>
        <row r="1437">
          <cell r="N1437">
            <v>0</v>
          </cell>
        </row>
        <row r="1438">
          <cell r="N1438">
            <v>0</v>
          </cell>
        </row>
        <row r="1439">
          <cell r="N1439">
            <v>0</v>
          </cell>
        </row>
        <row r="1440">
          <cell r="N1440">
            <v>49532</v>
          </cell>
        </row>
        <row r="1441">
          <cell r="N1441">
            <v>0</v>
          </cell>
        </row>
        <row r="1442">
          <cell r="N1442">
            <v>0</v>
          </cell>
        </row>
        <row r="1443">
          <cell r="N1443">
            <v>0</v>
          </cell>
        </row>
        <row r="1444">
          <cell r="N1444">
            <v>0</v>
          </cell>
        </row>
        <row r="1445">
          <cell r="N1445">
            <v>49532</v>
          </cell>
        </row>
        <row r="1446">
          <cell r="N1446">
            <v>0</v>
          </cell>
        </row>
        <row r="1447">
          <cell r="N1447">
            <v>0</v>
          </cell>
        </row>
        <row r="1448">
          <cell r="N1448">
            <v>0</v>
          </cell>
        </row>
        <row r="1449">
          <cell r="N1449">
            <v>0</v>
          </cell>
        </row>
        <row r="1450">
          <cell r="N1450">
            <v>0</v>
          </cell>
        </row>
        <row r="1451">
          <cell r="N1451">
            <v>0</v>
          </cell>
        </row>
        <row r="1452">
          <cell r="N1452">
            <v>0</v>
          </cell>
        </row>
        <row r="1453">
          <cell r="N1453">
            <v>0</v>
          </cell>
        </row>
        <row r="1454">
          <cell r="N1454">
            <v>0</v>
          </cell>
        </row>
        <row r="1455">
          <cell r="N1455">
            <v>0</v>
          </cell>
        </row>
        <row r="1456">
          <cell r="N1456">
            <v>3732912</v>
          </cell>
        </row>
        <row r="1457">
          <cell r="N1457">
            <v>0</v>
          </cell>
        </row>
        <row r="1458">
          <cell r="N1458">
            <v>0</v>
          </cell>
        </row>
        <row r="1459">
          <cell r="N1459">
            <v>0</v>
          </cell>
        </row>
        <row r="1460">
          <cell r="N1460">
            <v>0</v>
          </cell>
        </row>
        <row r="1461">
          <cell r="N1461">
            <v>0</v>
          </cell>
        </row>
        <row r="1462">
          <cell r="N1462">
            <v>0</v>
          </cell>
        </row>
        <row r="1463">
          <cell r="N1463">
            <v>0</v>
          </cell>
        </row>
        <row r="1464">
          <cell r="N1464">
            <v>0</v>
          </cell>
        </row>
        <row r="1465">
          <cell r="N1465">
            <v>0</v>
          </cell>
        </row>
        <row r="1466">
          <cell r="N1466">
            <v>0</v>
          </cell>
        </row>
        <row r="1467">
          <cell r="N1467">
            <v>0</v>
          </cell>
        </row>
        <row r="1468">
          <cell r="N1468">
            <v>0</v>
          </cell>
        </row>
        <row r="1469">
          <cell r="N1469">
            <v>300000</v>
          </cell>
        </row>
        <row r="1470">
          <cell r="N1470">
            <v>0</v>
          </cell>
        </row>
        <row r="1471">
          <cell r="N1471">
            <v>0</v>
          </cell>
        </row>
        <row r="1472">
          <cell r="N1472">
            <v>0</v>
          </cell>
        </row>
        <row r="1473">
          <cell r="N1473">
            <v>0</v>
          </cell>
        </row>
        <row r="1474">
          <cell r="N1474">
            <v>0</v>
          </cell>
        </row>
        <row r="1475">
          <cell r="N1475">
            <v>0</v>
          </cell>
        </row>
        <row r="1476">
          <cell r="N1476">
            <v>0</v>
          </cell>
        </row>
        <row r="1477">
          <cell r="N1477">
            <v>0</v>
          </cell>
        </row>
        <row r="1478">
          <cell r="N1478">
            <v>0</v>
          </cell>
        </row>
        <row r="1479">
          <cell r="N1479">
            <v>0</v>
          </cell>
        </row>
        <row r="1480">
          <cell r="N1480">
            <v>0</v>
          </cell>
        </row>
        <row r="1481">
          <cell r="N1481">
            <v>0</v>
          </cell>
        </row>
        <row r="1482">
          <cell r="N1482">
            <v>0</v>
          </cell>
        </row>
        <row r="1483">
          <cell r="N1483">
            <v>0</v>
          </cell>
        </row>
        <row r="1484">
          <cell r="N1484">
            <v>1853765</v>
          </cell>
        </row>
        <row r="1485">
          <cell r="N1485">
            <v>1579147</v>
          </cell>
        </row>
        <row r="1486">
          <cell r="N1486">
            <v>0</v>
          </cell>
        </row>
        <row r="1487">
          <cell r="N1487">
            <v>0</v>
          </cell>
        </row>
        <row r="1488">
          <cell r="N1488">
            <v>0</v>
          </cell>
        </row>
        <row r="1489">
          <cell r="N1489">
            <v>0</v>
          </cell>
        </row>
        <row r="1490">
          <cell r="N1490">
            <v>0</v>
          </cell>
        </row>
        <row r="1491">
          <cell r="N1491">
            <v>0</v>
          </cell>
        </row>
        <row r="1492">
          <cell r="N1492">
            <v>0</v>
          </cell>
        </row>
        <row r="1493">
          <cell r="N1493">
            <v>0</v>
          </cell>
        </row>
        <row r="1494">
          <cell r="N1494">
            <v>23742.58</v>
          </cell>
        </row>
        <row r="1495">
          <cell r="N1495">
            <v>23742.58</v>
          </cell>
        </row>
        <row r="1496">
          <cell r="N1496">
            <v>0</v>
          </cell>
        </row>
        <row r="1497">
          <cell r="N1497">
            <v>23742.58</v>
          </cell>
        </row>
        <row r="1498">
          <cell r="N1498">
            <v>0</v>
          </cell>
        </row>
        <row r="1499">
          <cell r="N1499">
            <v>0</v>
          </cell>
        </row>
        <row r="1500">
          <cell r="N1500">
            <v>0</v>
          </cell>
        </row>
        <row r="1501">
          <cell r="N1501">
            <v>0</v>
          </cell>
        </row>
        <row r="1502">
          <cell r="N1502">
            <v>0</v>
          </cell>
        </row>
        <row r="1503">
          <cell r="N1503">
            <v>0</v>
          </cell>
        </row>
        <row r="1504">
          <cell r="N1504">
            <v>0</v>
          </cell>
        </row>
        <row r="1505">
          <cell r="N1505">
            <v>0</v>
          </cell>
        </row>
        <row r="1506">
          <cell r="N1506">
            <v>0</v>
          </cell>
        </row>
        <row r="1507">
          <cell r="N1507">
            <v>38666.660000000003</v>
          </cell>
        </row>
        <row r="1508">
          <cell r="N1508">
            <v>38666.660000000003</v>
          </cell>
        </row>
        <row r="1509">
          <cell r="N1509">
            <v>0</v>
          </cell>
        </row>
        <row r="1510">
          <cell r="N1510">
            <v>38666.660000000003</v>
          </cell>
        </row>
        <row r="1511">
          <cell r="N1511">
            <v>0</v>
          </cell>
        </row>
        <row r="1512">
          <cell r="N1512">
            <v>0</v>
          </cell>
        </row>
        <row r="1513">
          <cell r="N1513">
            <v>0</v>
          </cell>
        </row>
        <row r="1514">
          <cell r="N1514">
            <v>0</v>
          </cell>
        </row>
        <row r="1515">
          <cell r="N1515">
            <v>0</v>
          </cell>
        </row>
        <row r="1516">
          <cell r="N1516">
            <v>8897808.8299999982</v>
          </cell>
        </row>
        <row r="1517">
          <cell r="N1517">
            <v>0</v>
          </cell>
        </row>
        <row r="1518">
          <cell r="N1518">
            <v>4394118.67</v>
          </cell>
        </row>
        <row r="1519">
          <cell r="N1519">
            <v>4259774.43</v>
          </cell>
        </row>
        <row r="1520">
          <cell r="N1520">
            <v>0</v>
          </cell>
        </row>
        <row r="1521">
          <cell r="N1521">
            <v>0</v>
          </cell>
        </row>
        <row r="1522">
          <cell r="N1522">
            <v>0</v>
          </cell>
        </row>
        <row r="1523">
          <cell r="N1523">
            <v>0</v>
          </cell>
        </row>
        <row r="1524">
          <cell r="N1524">
            <v>0</v>
          </cell>
        </row>
        <row r="1525">
          <cell r="N1525">
            <v>8943.17</v>
          </cell>
        </row>
        <row r="1526">
          <cell r="N1526">
            <v>0</v>
          </cell>
        </row>
        <row r="1527">
          <cell r="N1527">
            <v>0</v>
          </cell>
        </row>
        <row r="1528">
          <cell r="N1528">
            <v>0</v>
          </cell>
        </row>
        <row r="1529">
          <cell r="N1529">
            <v>0</v>
          </cell>
        </row>
        <row r="1530">
          <cell r="N1530">
            <v>4253.33</v>
          </cell>
        </row>
        <row r="1531">
          <cell r="N1531">
            <v>0</v>
          </cell>
        </row>
        <row r="1532">
          <cell r="N1532">
            <v>120526.7</v>
          </cell>
        </row>
        <row r="1533">
          <cell r="N1533">
            <v>0</v>
          </cell>
        </row>
        <row r="1534">
          <cell r="N1534">
            <v>0</v>
          </cell>
        </row>
        <row r="1535">
          <cell r="N1535">
            <v>0</v>
          </cell>
        </row>
        <row r="1536">
          <cell r="N1536">
            <v>31900.36</v>
          </cell>
        </row>
        <row r="1537">
          <cell r="N1537">
            <v>0</v>
          </cell>
        </row>
        <row r="1538">
          <cell r="N1538">
            <v>0</v>
          </cell>
        </row>
        <row r="1539">
          <cell r="N1539">
            <v>78292.17</v>
          </cell>
        </row>
        <row r="1540">
          <cell r="N1540">
            <v>0</v>
          </cell>
        </row>
        <row r="1541">
          <cell r="N1541">
            <v>0</v>
          </cell>
        </row>
        <row r="1542">
          <cell r="N1542">
            <v>0</v>
          </cell>
        </row>
        <row r="1543">
          <cell r="N1543">
            <v>0</v>
          </cell>
        </row>
        <row r="1544">
          <cell r="N1544">
            <v>0</v>
          </cell>
        </row>
        <row r="1545">
          <cell r="N1545">
            <v>0</v>
          </cell>
        </row>
        <row r="1546">
          <cell r="N1546">
            <v>46400</v>
          </cell>
        </row>
        <row r="1547">
          <cell r="N1547">
            <v>332479.2</v>
          </cell>
        </row>
        <row r="1548">
          <cell r="N1548">
            <v>147235.44</v>
          </cell>
        </row>
        <row r="1549">
          <cell r="N1549">
            <v>488357.91</v>
          </cell>
        </row>
        <row r="1550">
          <cell r="N1550">
            <v>112245.25</v>
          </cell>
        </row>
        <row r="1551">
          <cell r="N1551">
            <v>357052.14</v>
          </cell>
        </row>
        <row r="1552">
          <cell r="N1552">
            <v>88828.74</v>
          </cell>
        </row>
        <row r="1553">
          <cell r="N1553">
            <v>14500</v>
          </cell>
        </row>
        <row r="1554">
          <cell r="N1554">
            <v>17400</v>
          </cell>
        </row>
        <row r="1555">
          <cell r="N1555">
            <v>46223.1</v>
          </cell>
        </row>
        <row r="1556">
          <cell r="N1556">
            <v>13239.79</v>
          </cell>
        </row>
        <row r="1557">
          <cell r="N1557">
            <v>8120</v>
          </cell>
        </row>
        <row r="1558">
          <cell r="N1558">
            <v>278400</v>
          </cell>
        </row>
        <row r="1559">
          <cell r="N1559">
            <v>183190.27</v>
          </cell>
        </row>
        <row r="1560">
          <cell r="N1560">
            <v>1754.11</v>
          </cell>
        </row>
        <row r="1561">
          <cell r="N1561">
            <v>533353.69999999995</v>
          </cell>
        </row>
        <row r="1562">
          <cell r="N1562">
            <v>63029.96</v>
          </cell>
        </row>
        <row r="1563">
          <cell r="N1563">
            <v>11962.5</v>
          </cell>
        </row>
        <row r="1564">
          <cell r="N1564">
            <v>3083.67</v>
          </cell>
        </row>
        <row r="1565">
          <cell r="N1565">
            <v>150837.12</v>
          </cell>
        </row>
        <row r="1566">
          <cell r="N1566">
            <v>169153.52</v>
          </cell>
        </row>
        <row r="1567">
          <cell r="N1567">
            <v>6577.2</v>
          </cell>
        </row>
        <row r="1568">
          <cell r="N1568">
            <v>11799.15</v>
          </cell>
        </row>
        <row r="1569">
          <cell r="N1569">
            <v>228009.60000000001</v>
          </cell>
        </row>
        <row r="1570">
          <cell r="N1570">
            <v>372620.25</v>
          </cell>
        </row>
        <row r="1571">
          <cell r="N1571">
            <v>330006.08</v>
          </cell>
        </row>
        <row r="1573">
          <cell r="N1573">
            <v>134344.24</v>
          </cell>
        </row>
        <row r="1574">
          <cell r="N1574">
            <v>0</v>
          </cell>
        </row>
        <row r="1575">
          <cell r="N1575">
            <v>0</v>
          </cell>
        </row>
        <row r="1576">
          <cell r="N1576">
            <v>0</v>
          </cell>
        </row>
        <row r="1577">
          <cell r="N1577">
            <v>0</v>
          </cell>
        </row>
        <row r="1578">
          <cell r="N1578">
            <v>0</v>
          </cell>
        </row>
        <row r="1579">
          <cell r="N1579">
            <v>0</v>
          </cell>
        </row>
        <row r="1580">
          <cell r="N1580">
            <v>0</v>
          </cell>
        </row>
        <row r="1581">
          <cell r="N1581">
            <v>0</v>
          </cell>
        </row>
        <row r="1582">
          <cell r="N1582">
            <v>0</v>
          </cell>
        </row>
        <row r="1583">
          <cell r="N1583">
            <v>134344.24</v>
          </cell>
        </row>
        <row r="1584">
          <cell r="N1584">
            <v>0</v>
          </cell>
        </row>
        <row r="1585">
          <cell r="N1585">
            <v>0</v>
          </cell>
        </row>
        <row r="1586">
          <cell r="N1586">
            <v>0</v>
          </cell>
        </row>
        <row r="1587">
          <cell r="N1587">
            <v>0</v>
          </cell>
        </row>
        <row r="1588">
          <cell r="N1588">
            <v>0</v>
          </cell>
        </row>
        <row r="1589">
          <cell r="N1589">
            <v>0</v>
          </cell>
        </row>
        <row r="1590">
          <cell r="N1590">
            <v>0</v>
          </cell>
        </row>
        <row r="1591">
          <cell r="N1591">
            <v>0</v>
          </cell>
        </row>
        <row r="1592">
          <cell r="N1592">
            <v>559345.42000000004</v>
          </cell>
        </row>
        <row r="1593">
          <cell r="N1593">
            <v>559345.42000000004</v>
          </cell>
        </row>
        <row r="1594">
          <cell r="N1594">
            <v>559345.42000000004</v>
          </cell>
        </row>
        <row r="1595">
          <cell r="N1595">
            <v>3192.13</v>
          </cell>
        </row>
        <row r="1596">
          <cell r="N1596">
            <v>3192.13</v>
          </cell>
        </row>
        <row r="1597">
          <cell r="N1597">
            <v>3192.13</v>
          </cell>
        </row>
        <row r="1598">
          <cell r="N1598">
            <v>0</v>
          </cell>
        </row>
        <row r="1599">
          <cell r="N1599">
            <v>0</v>
          </cell>
        </row>
        <row r="1600">
          <cell r="N1600">
            <v>0</v>
          </cell>
        </row>
        <row r="1601">
          <cell r="N1601">
            <v>0</v>
          </cell>
        </row>
        <row r="1602">
          <cell r="N1602">
            <v>0</v>
          </cell>
        </row>
        <row r="1603">
          <cell r="N1603">
            <v>0</v>
          </cell>
        </row>
        <row r="1604">
          <cell r="N1604">
            <v>0</v>
          </cell>
        </row>
        <row r="1605">
          <cell r="N1605">
            <v>0</v>
          </cell>
        </row>
        <row r="1606">
          <cell r="N1606">
            <v>26267088</v>
          </cell>
        </row>
        <row r="1607">
          <cell r="N1607">
            <v>26267088</v>
          </cell>
        </row>
        <row r="1608">
          <cell r="N1608">
            <v>26267088</v>
          </cell>
        </row>
        <row r="1609">
          <cell r="N1609">
            <v>23984237</v>
          </cell>
        </row>
        <row r="1610">
          <cell r="N1610">
            <v>15000000</v>
          </cell>
        </row>
        <row r="1611">
          <cell r="N1611">
            <v>7500000</v>
          </cell>
        </row>
        <row r="1612">
          <cell r="N1612">
            <v>1484237</v>
          </cell>
        </row>
        <row r="1613">
          <cell r="N1613">
            <v>2282851</v>
          </cell>
        </row>
        <row r="1614">
          <cell r="N1614">
            <v>2282851</v>
          </cell>
        </row>
        <row r="1615">
          <cell r="N1615">
            <v>0</v>
          </cell>
        </row>
        <row r="1616">
          <cell r="N1616">
            <v>0</v>
          </cell>
        </row>
        <row r="1617">
          <cell r="N1617">
            <v>0</v>
          </cell>
        </row>
        <row r="1618">
          <cell r="N1618">
            <v>0</v>
          </cell>
        </row>
        <row r="1619">
          <cell r="N1619">
            <v>0</v>
          </cell>
        </row>
        <row r="1620">
          <cell r="N1620">
            <v>0</v>
          </cell>
        </row>
        <row r="1621">
          <cell r="N1621">
            <v>0</v>
          </cell>
        </row>
        <row r="1622">
          <cell r="N1622">
            <v>0</v>
          </cell>
        </row>
        <row r="1623">
          <cell r="N1623">
            <v>20603278.98</v>
          </cell>
        </row>
        <row r="1624">
          <cell r="N1624">
            <v>0</v>
          </cell>
        </row>
        <row r="1625">
          <cell r="N1625">
            <v>0</v>
          </cell>
        </row>
        <row r="1626">
          <cell r="N1626">
            <v>0</v>
          </cell>
        </row>
        <row r="1627">
          <cell r="N1627">
            <v>0</v>
          </cell>
        </row>
        <row r="1628">
          <cell r="N1628">
            <v>0</v>
          </cell>
        </row>
        <row r="1629">
          <cell r="N1629">
            <v>0</v>
          </cell>
        </row>
        <row r="1630">
          <cell r="N1630">
            <v>0</v>
          </cell>
        </row>
        <row r="1631">
          <cell r="N1631">
            <v>2006671.3599999999</v>
          </cell>
        </row>
        <row r="1632">
          <cell r="N1632">
            <v>0</v>
          </cell>
        </row>
        <row r="1633">
          <cell r="N1633">
            <v>0</v>
          </cell>
        </row>
        <row r="1634">
          <cell r="N1634">
            <v>0</v>
          </cell>
        </row>
        <row r="1635">
          <cell r="N1635">
            <v>0</v>
          </cell>
        </row>
        <row r="1636">
          <cell r="N1636">
            <v>0</v>
          </cell>
        </row>
        <row r="1637">
          <cell r="N1637">
            <v>0</v>
          </cell>
        </row>
        <row r="1638">
          <cell r="N1638">
            <v>0</v>
          </cell>
        </row>
        <row r="1639">
          <cell r="N1639">
            <v>0</v>
          </cell>
        </row>
        <row r="1640">
          <cell r="N1640">
            <v>0</v>
          </cell>
        </row>
        <row r="1641">
          <cell r="N1641">
            <v>0</v>
          </cell>
        </row>
        <row r="1642">
          <cell r="N1642">
            <v>0</v>
          </cell>
        </row>
        <row r="1643">
          <cell r="N1643">
            <v>0</v>
          </cell>
        </row>
        <row r="1644">
          <cell r="N1644">
            <v>0</v>
          </cell>
        </row>
        <row r="1645">
          <cell r="N1645">
            <v>306000</v>
          </cell>
        </row>
        <row r="1646">
          <cell r="N1646">
            <v>306000</v>
          </cell>
        </row>
        <row r="1647">
          <cell r="N1647">
            <v>306000</v>
          </cell>
        </row>
        <row r="1648">
          <cell r="N1648">
            <v>90000</v>
          </cell>
        </row>
        <row r="1649">
          <cell r="N1649">
            <v>50000</v>
          </cell>
        </row>
        <row r="1650">
          <cell r="N1650">
            <v>8000</v>
          </cell>
        </row>
        <row r="1651">
          <cell r="N1651">
            <v>4000</v>
          </cell>
        </row>
        <row r="1652">
          <cell r="N1652">
            <v>2000</v>
          </cell>
        </row>
        <row r="1653">
          <cell r="N1653">
            <v>4000</v>
          </cell>
        </row>
        <row r="1654">
          <cell r="N1654">
            <v>4000</v>
          </cell>
        </row>
        <row r="1655">
          <cell r="N1655">
            <v>2000</v>
          </cell>
        </row>
        <row r="1656">
          <cell r="N1656">
            <v>2000</v>
          </cell>
        </row>
        <row r="1657">
          <cell r="N1657">
            <v>32000</v>
          </cell>
        </row>
        <row r="1658">
          <cell r="N1658">
            <v>108000</v>
          </cell>
        </row>
        <row r="1659">
          <cell r="N1659">
            <v>103066</v>
          </cell>
        </row>
        <row r="1660">
          <cell r="N1660">
            <v>103066</v>
          </cell>
        </row>
        <row r="1661">
          <cell r="N1661">
            <v>103066</v>
          </cell>
        </row>
        <row r="1662">
          <cell r="N1662">
            <v>0</v>
          </cell>
        </row>
        <row r="1663">
          <cell r="N1663">
            <v>0</v>
          </cell>
        </row>
        <row r="1664">
          <cell r="N1664">
            <v>9971.36</v>
          </cell>
        </row>
        <row r="1665">
          <cell r="N1665">
            <v>0</v>
          </cell>
        </row>
        <row r="1666">
          <cell r="N1666">
            <v>0</v>
          </cell>
        </row>
        <row r="1667">
          <cell r="N1667">
            <v>0</v>
          </cell>
        </row>
        <row r="1668">
          <cell r="N1668">
            <v>0</v>
          </cell>
        </row>
        <row r="1669">
          <cell r="N1669">
            <v>9971.36</v>
          </cell>
        </row>
        <row r="1670">
          <cell r="N1670">
            <v>9971.36</v>
          </cell>
        </row>
        <row r="1671">
          <cell r="N1671">
            <v>9971.36</v>
          </cell>
        </row>
        <row r="1672">
          <cell r="N1672">
            <v>0</v>
          </cell>
        </row>
        <row r="1673">
          <cell r="N1673">
            <v>0</v>
          </cell>
        </row>
        <row r="1674">
          <cell r="N1674">
            <v>0</v>
          </cell>
        </row>
        <row r="1675">
          <cell r="N1675">
            <v>0</v>
          </cell>
        </row>
        <row r="1676">
          <cell r="N1676">
            <v>0</v>
          </cell>
        </row>
        <row r="1677">
          <cell r="N1677">
            <v>1172760</v>
          </cell>
        </row>
        <row r="1678">
          <cell r="N1678">
            <v>1033560</v>
          </cell>
        </row>
        <row r="1679">
          <cell r="N1679">
            <v>1033560</v>
          </cell>
        </row>
        <row r="1680">
          <cell r="N1680">
            <v>205440</v>
          </cell>
        </row>
        <row r="1681">
          <cell r="N1681">
            <v>205440</v>
          </cell>
        </row>
        <row r="1682">
          <cell r="N1682">
            <v>74340</v>
          </cell>
        </row>
        <row r="1683">
          <cell r="N1683">
            <v>88800</v>
          </cell>
        </row>
        <row r="1684">
          <cell r="N1684">
            <v>41040</v>
          </cell>
        </row>
        <row r="1685">
          <cell r="N1685">
            <v>25380</v>
          </cell>
        </row>
        <row r="1686">
          <cell r="N1686">
            <v>393120</v>
          </cell>
        </row>
        <row r="1687">
          <cell r="N1687">
            <v>0</v>
          </cell>
        </row>
        <row r="1688">
          <cell r="N1688">
            <v>0</v>
          </cell>
        </row>
        <row r="1689">
          <cell r="N1689">
            <v>0</v>
          </cell>
        </row>
        <row r="1690">
          <cell r="N1690">
            <v>0</v>
          </cell>
        </row>
        <row r="1691">
          <cell r="N1691">
            <v>0</v>
          </cell>
        </row>
        <row r="1692">
          <cell r="N1692">
            <v>0</v>
          </cell>
        </row>
        <row r="1693">
          <cell r="N1693">
            <v>139200</v>
          </cell>
        </row>
        <row r="1694">
          <cell r="N1694">
            <v>139200</v>
          </cell>
        </row>
        <row r="1695">
          <cell r="N1695">
            <v>336632</v>
          </cell>
        </row>
        <row r="1696">
          <cell r="N1696">
            <v>0</v>
          </cell>
        </row>
        <row r="1697">
          <cell r="N1697">
            <v>0</v>
          </cell>
        </row>
        <row r="1698">
          <cell r="N1698">
            <v>0</v>
          </cell>
        </row>
        <row r="1699">
          <cell r="N1699">
            <v>0</v>
          </cell>
        </row>
        <row r="1700">
          <cell r="N1700">
            <v>0</v>
          </cell>
        </row>
        <row r="1701">
          <cell r="N1701">
            <v>0</v>
          </cell>
        </row>
        <row r="1702">
          <cell r="N1702">
            <v>0</v>
          </cell>
        </row>
        <row r="1703">
          <cell r="N1703">
            <v>0</v>
          </cell>
        </row>
        <row r="1704">
          <cell r="N1704">
            <v>336632</v>
          </cell>
        </row>
        <row r="1705">
          <cell r="N1705">
            <v>0</v>
          </cell>
        </row>
        <row r="1706">
          <cell r="N1706">
            <v>261000</v>
          </cell>
        </row>
        <row r="1707">
          <cell r="N1707">
            <v>0</v>
          </cell>
        </row>
        <row r="1708">
          <cell r="N1708">
            <v>0</v>
          </cell>
        </row>
        <row r="1709">
          <cell r="N1709">
            <v>30624</v>
          </cell>
        </row>
        <row r="1710">
          <cell r="N1710">
            <v>0</v>
          </cell>
        </row>
        <row r="1711">
          <cell r="N1711">
            <v>0</v>
          </cell>
        </row>
        <row r="1712">
          <cell r="N1712">
            <v>0</v>
          </cell>
        </row>
        <row r="1713">
          <cell r="N1713">
            <v>0</v>
          </cell>
        </row>
        <row r="1714">
          <cell r="N1714">
            <v>0</v>
          </cell>
        </row>
        <row r="1715">
          <cell r="N1715">
            <v>0</v>
          </cell>
        </row>
        <row r="1716">
          <cell r="N1716">
            <v>0</v>
          </cell>
        </row>
        <row r="1717">
          <cell r="N1717">
            <v>0</v>
          </cell>
        </row>
        <row r="1718">
          <cell r="N1718">
            <v>0</v>
          </cell>
        </row>
        <row r="1719">
          <cell r="N1719">
            <v>0</v>
          </cell>
        </row>
        <row r="1720">
          <cell r="N1720">
            <v>0</v>
          </cell>
        </row>
        <row r="1721">
          <cell r="N1721">
            <v>15080</v>
          </cell>
        </row>
        <row r="1722">
          <cell r="N1722">
            <v>0</v>
          </cell>
        </row>
        <row r="1723">
          <cell r="N1723">
            <v>0</v>
          </cell>
        </row>
        <row r="1724">
          <cell r="N1724">
            <v>0</v>
          </cell>
        </row>
        <row r="1725">
          <cell r="N1725">
            <v>0</v>
          </cell>
        </row>
        <row r="1726">
          <cell r="N1726">
            <v>0</v>
          </cell>
        </row>
        <row r="1727">
          <cell r="N1727">
            <v>0</v>
          </cell>
        </row>
        <row r="1728">
          <cell r="N1728">
            <v>29928</v>
          </cell>
        </row>
        <row r="1729">
          <cell r="N1729">
            <v>78242</v>
          </cell>
        </row>
        <row r="1730">
          <cell r="N1730">
            <v>78242</v>
          </cell>
        </row>
        <row r="1731">
          <cell r="N1731">
            <v>78242</v>
          </cell>
        </row>
        <row r="1732">
          <cell r="N1732">
            <v>4000</v>
          </cell>
        </row>
        <row r="1733">
          <cell r="N1733">
            <v>2000</v>
          </cell>
        </row>
        <row r="1734">
          <cell r="N1734">
            <v>4000</v>
          </cell>
        </row>
        <row r="1735">
          <cell r="N1735">
            <v>6000</v>
          </cell>
        </row>
        <row r="1736">
          <cell r="N1736">
            <v>1000</v>
          </cell>
        </row>
        <row r="1737">
          <cell r="N1737">
            <v>1600</v>
          </cell>
        </row>
        <row r="1738">
          <cell r="N1738">
            <v>2000</v>
          </cell>
        </row>
        <row r="1739">
          <cell r="N1739">
            <v>2000</v>
          </cell>
        </row>
        <row r="1740">
          <cell r="N1740">
            <v>1000</v>
          </cell>
        </row>
        <row r="1741">
          <cell r="N1741">
            <v>200</v>
          </cell>
        </row>
        <row r="1742">
          <cell r="N1742">
            <v>500</v>
          </cell>
        </row>
        <row r="1743">
          <cell r="N1743">
            <v>2000</v>
          </cell>
        </row>
        <row r="1744">
          <cell r="N1744">
            <v>400</v>
          </cell>
        </row>
        <row r="1745">
          <cell r="N1745">
            <v>2000</v>
          </cell>
        </row>
        <row r="1746">
          <cell r="N1746">
            <v>200</v>
          </cell>
        </row>
        <row r="1747">
          <cell r="N1747">
            <v>1000</v>
          </cell>
        </row>
        <row r="1748">
          <cell r="N1748">
            <v>2000</v>
          </cell>
        </row>
        <row r="1749">
          <cell r="N1749">
            <v>1000</v>
          </cell>
        </row>
        <row r="1750">
          <cell r="N1750">
            <v>600</v>
          </cell>
        </row>
        <row r="1751">
          <cell r="N1751">
            <v>2000</v>
          </cell>
        </row>
        <row r="1752">
          <cell r="N1752">
            <v>2000</v>
          </cell>
        </row>
        <row r="1753">
          <cell r="N1753">
            <v>200</v>
          </cell>
        </row>
        <row r="1754">
          <cell r="N1754">
            <v>1000</v>
          </cell>
        </row>
        <row r="1756">
          <cell r="N1756">
            <v>4000</v>
          </cell>
        </row>
        <row r="1757">
          <cell r="N1757">
            <v>8000</v>
          </cell>
        </row>
        <row r="1758">
          <cell r="N1758">
            <v>2500</v>
          </cell>
        </row>
        <row r="1759">
          <cell r="N1759">
            <v>2000</v>
          </cell>
        </row>
        <row r="1760">
          <cell r="N1760">
            <v>2000</v>
          </cell>
        </row>
        <row r="1761">
          <cell r="N1761">
            <v>0</v>
          </cell>
        </row>
        <row r="1762">
          <cell r="N1762">
            <v>21042</v>
          </cell>
        </row>
        <row r="1763">
          <cell r="N1763">
            <v>0</v>
          </cell>
        </row>
        <row r="1764">
          <cell r="N1764">
            <v>0</v>
          </cell>
        </row>
        <row r="1765">
          <cell r="N1765">
            <v>0</v>
          </cell>
        </row>
        <row r="1766">
          <cell r="N1766">
            <v>0</v>
          </cell>
        </row>
        <row r="1767">
          <cell r="N1767">
            <v>0</v>
          </cell>
        </row>
        <row r="1768">
          <cell r="N1768">
            <v>4145001.3200000003</v>
          </cell>
        </row>
        <row r="1769">
          <cell r="N1769">
            <v>0</v>
          </cell>
        </row>
        <row r="1770">
          <cell r="N1770">
            <v>0</v>
          </cell>
        </row>
        <row r="1771">
          <cell r="N1771">
            <v>0</v>
          </cell>
        </row>
        <row r="1772">
          <cell r="N1772">
            <v>0</v>
          </cell>
        </row>
        <row r="1773">
          <cell r="N1773">
            <v>0</v>
          </cell>
        </row>
        <row r="1774">
          <cell r="N1774">
            <v>0</v>
          </cell>
        </row>
        <row r="1775">
          <cell r="N1775">
            <v>0</v>
          </cell>
        </row>
        <row r="1776">
          <cell r="N1776">
            <v>0</v>
          </cell>
        </row>
        <row r="1777">
          <cell r="N1777">
            <v>0</v>
          </cell>
        </row>
        <row r="1778">
          <cell r="N1778">
            <v>0</v>
          </cell>
        </row>
        <row r="1779">
          <cell r="N1779">
            <v>0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0</v>
          </cell>
        </row>
        <row r="1784">
          <cell r="N1784">
            <v>0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4145001.3200000003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2195000.7200000002</v>
          </cell>
        </row>
        <row r="1794">
          <cell r="N1794">
            <v>2195000.7200000002</v>
          </cell>
        </row>
        <row r="1795">
          <cell r="N1795">
            <v>2195000.7200000002</v>
          </cell>
        </row>
        <row r="1796">
          <cell r="N1796">
            <v>0</v>
          </cell>
        </row>
        <row r="1797">
          <cell r="N1797">
            <v>1950000.6</v>
          </cell>
        </row>
        <row r="1798">
          <cell r="N1798">
            <v>1950000.6</v>
          </cell>
        </row>
        <row r="1799">
          <cell r="N1799">
            <v>0</v>
          </cell>
        </row>
        <row r="1800">
          <cell r="N1800">
            <v>0</v>
          </cell>
        </row>
        <row r="1801">
          <cell r="N1801">
            <v>0</v>
          </cell>
        </row>
        <row r="1802">
          <cell r="N1802">
            <v>0</v>
          </cell>
        </row>
        <row r="1803">
          <cell r="N1803">
            <v>0</v>
          </cell>
        </row>
        <row r="1804">
          <cell r="N1804">
            <v>0</v>
          </cell>
        </row>
        <row r="1805">
          <cell r="N1805">
            <v>10401366.300000001</v>
          </cell>
        </row>
        <row r="1806">
          <cell r="N1806">
            <v>761669.91999999993</v>
          </cell>
        </row>
        <row r="1807">
          <cell r="N1807">
            <v>192502</v>
          </cell>
        </row>
        <row r="1808">
          <cell r="N1808">
            <v>10962</v>
          </cell>
        </row>
        <row r="1809">
          <cell r="N1809">
            <v>57768</v>
          </cell>
        </row>
        <row r="1810">
          <cell r="N1810">
            <v>0</v>
          </cell>
        </row>
        <row r="1811">
          <cell r="N1811">
            <v>0</v>
          </cell>
        </row>
        <row r="1812">
          <cell r="N1812">
            <v>0</v>
          </cell>
        </row>
        <row r="1813">
          <cell r="N1813">
            <v>0</v>
          </cell>
        </row>
        <row r="1814">
          <cell r="N1814">
            <v>0</v>
          </cell>
        </row>
        <row r="1815">
          <cell r="N1815">
            <v>42282</v>
          </cell>
        </row>
        <row r="1816">
          <cell r="N1816">
            <v>0</v>
          </cell>
        </row>
        <row r="1817">
          <cell r="N1817">
            <v>0</v>
          </cell>
        </row>
        <row r="1818">
          <cell r="N1818">
            <v>0</v>
          </cell>
        </row>
        <row r="1819">
          <cell r="N1819">
            <v>0</v>
          </cell>
        </row>
        <row r="1820">
          <cell r="N1820">
            <v>0</v>
          </cell>
        </row>
        <row r="1821">
          <cell r="N1821">
            <v>0</v>
          </cell>
        </row>
        <row r="1822">
          <cell r="N1822">
            <v>51678</v>
          </cell>
        </row>
        <row r="1823">
          <cell r="N1823">
            <v>0</v>
          </cell>
        </row>
        <row r="1824">
          <cell r="N1824">
            <v>0</v>
          </cell>
        </row>
        <row r="1825">
          <cell r="N1825">
            <v>0</v>
          </cell>
        </row>
        <row r="1826">
          <cell r="N1826">
            <v>0</v>
          </cell>
        </row>
        <row r="1827">
          <cell r="N1827">
            <v>0</v>
          </cell>
        </row>
        <row r="1828">
          <cell r="N1828">
            <v>12760</v>
          </cell>
        </row>
        <row r="1829">
          <cell r="N1829">
            <v>0</v>
          </cell>
        </row>
        <row r="1830">
          <cell r="N1830">
            <v>0</v>
          </cell>
        </row>
        <row r="1831">
          <cell r="N1831">
            <v>17052</v>
          </cell>
        </row>
        <row r="1832">
          <cell r="N1832">
            <v>76399.92</v>
          </cell>
        </row>
        <row r="1833">
          <cell r="N1833">
            <v>0</v>
          </cell>
        </row>
        <row r="1834">
          <cell r="N1834">
            <v>0</v>
          </cell>
        </row>
        <row r="1835">
          <cell r="N1835">
            <v>0</v>
          </cell>
        </row>
        <row r="1836">
          <cell r="N1836">
            <v>76399.92</v>
          </cell>
        </row>
        <row r="1837">
          <cell r="N1837">
            <v>0</v>
          </cell>
        </row>
        <row r="1838">
          <cell r="N1838">
            <v>0</v>
          </cell>
        </row>
        <row r="1839">
          <cell r="N1839">
            <v>0</v>
          </cell>
        </row>
        <row r="1840">
          <cell r="N1840">
            <v>303456</v>
          </cell>
        </row>
        <row r="1841">
          <cell r="N1841">
            <v>258456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0</v>
          </cell>
        </row>
        <row r="1845">
          <cell r="N1845">
            <v>0</v>
          </cell>
        </row>
        <row r="1846">
          <cell r="N1846">
            <v>0</v>
          </cell>
        </row>
        <row r="1847">
          <cell r="N1847">
            <v>0</v>
          </cell>
        </row>
        <row r="1848">
          <cell r="N1848">
            <v>0</v>
          </cell>
        </row>
        <row r="1849">
          <cell r="N1849">
            <v>0</v>
          </cell>
        </row>
        <row r="1850">
          <cell r="N1850">
            <v>0</v>
          </cell>
        </row>
        <row r="1851">
          <cell r="N1851">
            <v>0</v>
          </cell>
        </row>
        <row r="1852">
          <cell r="N1852">
            <v>0</v>
          </cell>
        </row>
        <row r="1853">
          <cell r="N1853">
            <v>0</v>
          </cell>
        </row>
        <row r="1854">
          <cell r="N1854">
            <v>0</v>
          </cell>
        </row>
        <row r="1855">
          <cell r="N1855">
            <v>0</v>
          </cell>
        </row>
        <row r="1856">
          <cell r="N1856">
            <v>0</v>
          </cell>
        </row>
        <row r="1857">
          <cell r="N1857">
            <v>0</v>
          </cell>
        </row>
        <row r="1858">
          <cell r="N1858">
            <v>0</v>
          </cell>
        </row>
        <row r="1859">
          <cell r="N1859">
            <v>0</v>
          </cell>
        </row>
        <row r="1860">
          <cell r="N1860">
            <v>0</v>
          </cell>
        </row>
        <row r="1861">
          <cell r="N1861">
            <v>45000</v>
          </cell>
        </row>
        <row r="1862">
          <cell r="N1862">
            <v>0</v>
          </cell>
        </row>
        <row r="1863">
          <cell r="N1863">
            <v>189312</v>
          </cell>
        </row>
        <row r="1864">
          <cell r="N1864">
            <v>0</v>
          </cell>
        </row>
        <row r="1865">
          <cell r="N1865">
            <v>0</v>
          </cell>
        </row>
        <row r="1866">
          <cell r="N1866">
            <v>0</v>
          </cell>
        </row>
        <row r="1867">
          <cell r="N1867">
            <v>0</v>
          </cell>
        </row>
        <row r="1868">
          <cell r="N1868">
            <v>0</v>
          </cell>
        </row>
        <row r="1869">
          <cell r="N1869">
            <v>0</v>
          </cell>
        </row>
        <row r="1870">
          <cell r="N1870">
            <v>0</v>
          </cell>
        </row>
        <row r="1871">
          <cell r="N1871">
            <v>0</v>
          </cell>
        </row>
        <row r="1872">
          <cell r="N1872">
            <v>0</v>
          </cell>
        </row>
        <row r="1873">
          <cell r="N1873">
            <v>0</v>
          </cell>
        </row>
        <row r="1874">
          <cell r="N1874">
            <v>19488</v>
          </cell>
        </row>
        <row r="1875">
          <cell r="N1875">
            <v>0</v>
          </cell>
        </row>
        <row r="1876">
          <cell r="N1876">
            <v>0</v>
          </cell>
        </row>
        <row r="1877">
          <cell r="N1877">
            <v>0</v>
          </cell>
        </row>
        <row r="1878">
          <cell r="N1878">
            <v>0</v>
          </cell>
        </row>
        <row r="1879">
          <cell r="N1879">
            <v>0</v>
          </cell>
        </row>
        <row r="1880">
          <cell r="N1880">
            <v>169824</v>
          </cell>
        </row>
        <row r="1881">
          <cell r="N1881">
            <v>0</v>
          </cell>
        </row>
        <row r="1882">
          <cell r="N1882">
            <v>0</v>
          </cell>
        </row>
        <row r="1883">
          <cell r="N1883">
            <v>0</v>
          </cell>
        </row>
        <row r="1884">
          <cell r="N1884">
            <v>0</v>
          </cell>
        </row>
        <row r="1885">
          <cell r="N1885">
            <v>48706.080000000002</v>
          </cell>
        </row>
        <row r="1886">
          <cell r="N1886">
            <v>19033.28</v>
          </cell>
        </row>
        <row r="1887">
          <cell r="N1887">
            <v>9048</v>
          </cell>
        </row>
        <row r="1888">
          <cell r="N1888">
            <v>0</v>
          </cell>
        </row>
        <row r="1889">
          <cell r="N1889">
            <v>0</v>
          </cell>
        </row>
        <row r="1890">
          <cell r="N1890">
            <v>0</v>
          </cell>
        </row>
        <row r="1891">
          <cell r="N1891">
            <v>5985.6</v>
          </cell>
        </row>
        <row r="1892">
          <cell r="N1892">
            <v>0</v>
          </cell>
        </row>
        <row r="1893">
          <cell r="N1893">
            <v>0</v>
          </cell>
        </row>
        <row r="1894">
          <cell r="N1894">
            <v>0</v>
          </cell>
        </row>
        <row r="1895">
          <cell r="N1895">
            <v>3999.6799999999994</v>
          </cell>
        </row>
        <row r="1896">
          <cell r="N1896">
            <v>0</v>
          </cell>
        </row>
        <row r="1897">
          <cell r="N1897">
            <v>0</v>
          </cell>
        </row>
        <row r="1898">
          <cell r="N1898">
            <v>0</v>
          </cell>
        </row>
        <row r="1899">
          <cell r="N1899">
            <v>0</v>
          </cell>
        </row>
        <row r="1900">
          <cell r="N1900">
            <v>0</v>
          </cell>
        </row>
        <row r="1901">
          <cell r="N1901">
            <v>0</v>
          </cell>
        </row>
        <row r="1902">
          <cell r="N1902">
            <v>0</v>
          </cell>
        </row>
        <row r="1903">
          <cell r="N1903">
            <v>0</v>
          </cell>
        </row>
        <row r="1904">
          <cell r="N1904">
            <v>29672.799999999999</v>
          </cell>
        </row>
        <row r="1905">
          <cell r="N1905">
            <v>0</v>
          </cell>
        </row>
        <row r="1906">
          <cell r="N1906">
            <v>0</v>
          </cell>
        </row>
        <row r="1907">
          <cell r="N1907">
            <v>0</v>
          </cell>
        </row>
        <row r="1908">
          <cell r="N1908">
            <v>29672.799999999999</v>
          </cell>
        </row>
        <row r="1909">
          <cell r="N1909">
            <v>0</v>
          </cell>
        </row>
        <row r="1910">
          <cell r="N1910">
            <v>0</v>
          </cell>
        </row>
        <row r="1911">
          <cell r="N1911">
            <v>0</v>
          </cell>
        </row>
        <row r="1912">
          <cell r="N1912">
            <v>0</v>
          </cell>
        </row>
        <row r="1913">
          <cell r="N1913">
            <v>92985.599999999991</v>
          </cell>
        </row>
        <row r="1914">
          <cell r="N1914">
            <v>82383.199999999997</v>
          </cell>
        </row>
        <row r="1915">
          <cell r="N1915">
            <v>0</v>
          </cell>
        </row>
        <row r="1916">
          <cell r="N1916">
            <v>0</v>
          </cell>
        </row>
        <row r="1917">
          <cell r="N1917">
            <v>0</v>
          </cell>
        </row>
        <row r="1918">
          <cell r="N1918">
            <v>0</v>
          </cell>
        </row>
        <row r="1919">
          <cell r="N1919">
            <v>0</v>
          </cell>
        </row>
        <row r="1920">
          <cell r="N1920">
            <v>0</v>
          </cell>
        </row>
        <row r="1921">
          <cell r="N1921">
            <v>0</v>
          </cell>
        </row>
        <row r="1922">
          <cell r="N1922">
            <v>0</v>
          </cell>
        </row>
        <row r="1923">
          <cell r="N1923">
            <v>1983.6</v>
          </cell>
        </row>
        <row r="1924">
          <cell r="N1924">
            <v>0</v>
          </cell>
        </row>
        <row r="1925">
          <cell r="N1925">
            <v>0</v>
          </cell>
        </row>
        <row r="1926">
          <cell r="N1926">
            <v>0</v>
          </cell>
        </row>
        <row r="1927">
          <cell r="N1927">
            <v>49845.2</v>
          </cell>
        </row>
        <row r="1928">
          <cell r="N1928">
            <v>0</v>
          </cell>
        </row>
        <row r="1929">
          <cell r="N1929">
            <v>0</v>
          </cell>
        </row>
        <row r="1930">
          <cell r="N1930">
            <v>0</v>
          </cell>
        </row>
        <row r="1931">
          <cell r="N1931">
            <v>0</v>
          </cell>
        </row>
        <row r="1932">
          <cell r="N1932">
            <v>0</v>
          </cell>
        </row>
        <row r="1933">
          <cell r="N1933">
            <v>3990.4</v>
          </cell>
        </row>
        <row r="1934">
          <cell r="N1934">
            <v>0</v>
          </cell>
        </row>
        <row r="1935">
          <cell r="N1935">
            <v>0</v>
          </cell>
        </row>
        <row r="1936">
          <cell r="N1936">
            <v>1972</v>
          </cell>
        </row>
        <row r="1937">
          <cell r="N1937">
            <v>0</v>
          </cell>
        </row>
        <row r="1938">
          <cell r="N1938">
            <v>9860</v>
          </cell>
        </row>
        <row r="1939">
          <cell r="N1939">
            <v>0</v>
          </cell>
        </row>
        <row r="1940">
          <cell r="N1940">
            <v>0</v>
          </cell>
        </row>
        <row r="1941">
          <cell r="N1941">
            <v>0</v>
          </cell>
        </row>
        <row r="1942">
          <cell r="N1942">
            <v>0</v>
          </cell>
        </row>
        <row r="1943">
          <cell r="N1943">
            <v>0</v>
          </cell>
        </row>
        <row r="1944">
          <cell r="N1944">
            <v>0</v>
          </cell>
        </row>
        <row r="1945">
          <cell r="N1945">
            <v>0</v>
          </cell>
        </row>
        <row r="1946">
          <cell r="N1946">
            <v>0</v>
          </cell>
        </row>
        <row r="1947">
          <cell r="N1947">
            <v>0</v>
          </cell>
        </row>
        <row r="1948">
          <cell r="N1948">
            <v>0</v>
          </cell>
        </row>
        <row r="1949">
          <cell r="N1949">
            <v>0</v>
          </cell>
        </row>
        <row r="1950">
          <cell r="N1950">
            <v>14732</v>
          </cell>
        </row>
        <row r="1951">
          <cell r="N1951">
            <v>0</v>
          </cell>
        </row>
        <row r="1952">
          <cell r="N1952">
            <v>0</v>
          </cell>
        </row>
        <row r="1953">
          <cell r="N1953">
            <v>0</v>
          </cell>
        </row>
        <row r="1954">
          <cell r="N1954">
            <v>0</v>
          </cell>
        </row>
        <row r="1955">
          <cell r="N1955">
            <v>0</v>
          </cell>
        </row>
        <row r="1956">
          <cell r="N1956">
            <v>0</v>
          </cell>
        </row>
        <row r="1957">
          <cell r="N1957">
            <v>0</v>
          </cell>
        </row>
        <row r="1958">
          <cell r="N1958">
            <v>0</v>
          </cell>
        </row>
        <row r="1959">
          <cell r="N1959">
            <v>0</v>
          </cell>
        </row>
        <row r="1960">
          <cell r="N1960">
            <v>0</v>
          </cell>
        </row>
        <row r="1961">
          <cell r="N1961">
            <v>10602.4</v>
          </cell>
        </row>
        <row r="1962">
          <cell r="N1962">
            <v>0</v>
          </cell>
        </row>
        <row r="1963">
          <cell r="N1963">
            <v>0</v>
          </cell>
        </row>
        <row r="1964">
          <cell r="N1964">
            <v>0</v>
          </cell>
        </row>
        <row r="1965">
          <cell r="N1965">
            <v>0</v>
          </cell>
        </row>
        <row r="1966">
          <cell r="N1966">
            <v>0</v>
          </cell>
        </row>
        <row r="1967">
          <cell r="N1967">
            <v>0</v>
          </cell>
        </row>
        <row r="1968">
          <cell r="N1968">
            <v>0</v>
          </cell>
        </row>
        <row r="1969">
          <cell r="N1969">
            <v>0</v>
          </cell>
        </row>
        <row r="1970">
          <cell r="N1970">
            <v>0</v>
          </cell>
        </row>
        <row r="1971">
          <cell r="N1971">
            <v>0</v>
          </cell>
        </row>
        <row r="1972">
          <cell r="N1972">
            <v>0</v>
          </cell>
        </row>
        <row r="1973">
          <cell r="N1973">
            <v>0</v>
          </cell>
        </row>
        <row r="1974">
          <cell r="N1974">
            <v>0</v>
          </cell>
        </row>
        <row r="1975">
          <cell r="N1975">
            <v>0</v>
          </cell>
        </row>
        <row r="1976">
          <cell r="N1976">
            <v>0</v>
          </cell>
        </row>
        <row r="1977">
          <cell r="N1977">
            <v>0</v>
          </cell>
        </row>
        <row r="1978">
          <cell r="N1978">
            <v>0</v>
          </cell>
        </row>
        <row r="1979">
          <cell r="N1979">
            <v>0</v>
          </cell>
        </row>
        <row r="1980">
          <cell r="N1980">
            <v>0</v>
          </cell>
        </row>
        <row r="1981">
          <cell r="N1981">
            <v>0</v>
          </cell>
        </row>
        <row r="1982">
          <cell r="N1982">
            <v>0</v>
          </cell>
        </row>
        <row r="1983">
          <cell r="N1983">
            <v>0</v>
          </cell>
        </row>
        <row r="1984">
          <cell r="N1984">
            <v>0</v>
          </cell>
        </row>
        <row r="1985">
          <cell r="N1985">
            <v>0</v>
          </cell>
        </row>
        <row r="1986">
          <cell r="N1986">
            <v>0</v>
          </cell>
        </row>
        <row r="1987">
          <cell r="N1987">
            <v>0</v>
          </cell>
        </row>
        <row r="1988">
          <cell r="N1988">
            <v>0</v>
          </cell>
        </row>
        <row r="1989">
          <cell r="N1989">
            <v>0</v>
          </cell>
        </row>
        <row r="1990">
          <cell r="N1990">
            <v>0</v>
          </cell>
        </row>
        <row r="1991">
          <cell r="N1991">
            <v>0</v>
          </cell>
        </row>
        <row r="1992">
          <cell r="N1992">
            <v>0</v>
          </cell>
        </row>
        <row r="1993">
          <cell r="N1993">
            <v>4686.3999999999996</v>
          </cell>
        </row>
        <row r="1994">
          <cell r="N1994">
            <v>0</v>
          </cell>
        </row>
        <row r="1995">
          <cell r="N1995">
            <v>0</v>
          </cell>
        </row>
        <row r="1996">
          <cell r="N1996">
            <v>0</v>
          </cell>
        </row>
        <row r="1997">
          <cell r="N1997">
            <v>0</v>
          </cell>
        </row>
        <row r="1998">
          <cell r="N1998">
            <v>0</v>
          </cell>
        </row>
        <row r="1999">
          <cell r="N1999">
            <v>0</v>
          </cell>
        </row>
        <row r="2000">
          <cell r="N2000">
            <v>0</v>
          </cell>
        </row>
        <row r="2001">
          <cell r="N2001">
            <v>0</v>
          </cell>
        </row>
        <row r="2002">
          <cell r="N2002">
            <v>0</v>
          </cell>
        </row>
        <row r="2003">
          <cell r="N2003">
            <v>0</v>
          </cell>
        </row>
        <row r="2004">
          <cell r="N2004">
            <v>0</v>
          </cell>
        </row>
        <row r="2005">
          <cell r="N2005">
            <v>0</v>
          </cell>
        </row>
        <row r="2006">
          <cell r="N2006">
            <v>0</v>
          </cell>
        </row>
        <row r="2007">
          <cell r="N2007">
            <v>0</v>
          </cell>
        </row>
        <row r="2008">
          <cell r="N2008">
            <v>0</v>
          </cell>
        </row>
        <row r="2009">
          <cell r="N2009">
            <v>0</v>
          </cell>
        </row>
        <row r="2010">
          <cell r="N2010">
            <v>0</v>
          </cell>
        </row>
        <row r="2011">
          <cell r="N2011">
            <v>0</v>
          </cell>
        </row>
        <row r="2012">
          <cell r="N2012">
            <v>0</v>
          </cell>
        </row>
        <row r="2013">
          <cell r="N2013">
            <v>5916</v>
          </cell>
        </row>
        <row r="2014">
          <cell r="N2014">
            <v>3981217.5</v>
          </cell>
        </row>
        <row r="2015">
          <cell r="N2015">
            <v>3981217.5</v>
          </cell>
        </row>
        <row r="2016">
          <cell r="N2016">
            <v>0</v>
          </cell>
        </row>
        <row r="2017">
          <cell r="N2017">
            <v>0</v>
          </cell>
        </row>
        <row r="2018">
          <cell r="N2018">
            <v>0</v>
          </cell>
        </row>
        <row r="2019">
          <cell r="N2019">
            <v>0</v>
          </cell>
        </row>
        <row r="2020">
          <cell r="N2020">
            <v>3981217.5</v>
          </cell>
        </row>
        <row r="2021">
          <cell r="N2021">
            <v>0</v>
          </cell>
        </row>
        <row r="2022">
          <cell r="N2022">
            <v>0</v>
          </cell>
        </row>
        <row r="2023">
          <cell r="N2023">
            <v>0</v>
          </cell>
        </row>
        <row r="2024">
          <cell r="N2024">
            <v>0</v>
          </cell>
        </row>
        <row r="2025">
          <cell r="N2025">
            <v>0</v>
          </cell>
        </row>
        <row r="2026">
          <cell r="N2026">
            <v>0</v>
          </cell>
        </row>
        <row r="2027">
          <cell r="N2027">
            <v>0</v>
          </cell>
        </row>
        <row r="2028">
          <cell r="N2028">
            <v>0</v>
          </cell>
        </row>
        <row r="2029">
          <cell r="N2029">
            <v>0</v>
          </cell>
        </row>
        <row r="2030">
          <cell r="N2030">
            <v>0</v>
          </cell>
        </row>
        <row r="2031">
          <cell r="N2031">
            <v>5516787.2000000002</v>
          </cell>
        </row>
        <row r="2032">
          <cell r="N2032">
            <v>2483968</v>
          </cell>
        </row>
        <row r="2033">
          <cell r="N2033">
            <v>0</v>
          </cell>
        </row>
        <row r="2034">
          <cell r="N2034">
            <v>0</v>
          </cell>
        </row>
        <row r="2035">
          <cell r="N2035">
            <v>0</v>
          </cell>
        </row>
        <row r="2036">
          <cell r="N2036">
            <v>29928</v>
          </cell>
        </row>
        <row r="2037">
          <cell r="N2037">
            <v>1965040</v>
          </cell>
        </row>
        <row r="2038">
          <cell r="N2038">
            <v>0</v>
          </cell>
        </row>
        <row r="2039">
          <cell r="N2039">
            <v>24000</v>
          </cell>
        </row>
        <row r="2040">
          <cell r="N2040">
            <v>0</v>
          </cell>
        </row>
        <row r="2041">
          <cell r="N2041">
            <v>0</v>
          </cell>
        </row>
        <row r="2042">
          <cell r="N2042">
            <v>0</v>
          </cell>
        </row>
        <row r="2043">
          <cell r="N2043">
            <v>0</v>
          </cell>
        </row>
        <row r="2044">
          <cell r="N2044">
            <v>0</v>
          </cell>
        </row>
        <row r="2045">
          <cell r="N2045">
            <v>0</v>
          </cell>
        </row>
        <row r="2046">
          <cell r="N2046">
            <v>0</v>
          </cell>
        </row>
        <row r="2047">
          <cell r="N2047">
            <v>0</v>
          </cell>
        </row>
        <row r="2048">
          <cell r="N2048">
            <v>150000</v>
          </cell>
        </row>
        <row r="2049">
          <cell r="N2049">
            <v>0</v>
          </cell>
        </row>
        <row r="2050">
          <cell r="N2050">
            <v>315000</v>
          </cell>
        </row>
        <row r="2051">
          <cell r="N2051">
            <v>0</v>
          </cell>
        </row>
        <row r="2052">
          <cell r="N2052">
            <v>0</v>
          </cell>
        </row>
        <row r="2053">
          <cell r="N2053">
            <v>0</v>
          </cell>
        </row>
        <row r="2054">
          <cell r="N2054">
            <v>0</v>
          </cell>
        </row>
        <row r="2055">
          <cell r="N2055">
            <v>0</v>
          </cell>
        </row>
        <row r="2056">
          <cell r="N2056">
            <v>0</v>
          </cell>
        </row>
        <row r="2057">
          <cell r="N2057">
            <v>0</v>
          </cell>
        </row>
        <row r="2058">
          <cell r="N2058">
            <v>0</v>
          </cell>
        </row>
        <row r="2059">
          <cell r="N2059">
            <v>1263147.2</v>
          </cell>
        </row>
        <row r="2060">
          <cell r="N2060">
            <v>0</v>
          </cell>
        </row>
        <row r="2061">
          <cell r="N2061">
            <v>0</v>
          </cell>
        </row>
        <row r="2062">
          <cell r="N2062">
            <v>0</v>
          </cell>
        </row>
        <row r="2063">
          <cell r="N2063">
            <v>0</v>
          </cell>
        </row>
        <row r="2064">
          <cell r="N2064">
            <v>0</v>
          </cell>
        </row>
        <row r="2065">
          <cell r="N2065">
            <v>0</v>
          </cell>
        </row>
        <row r="2066">
          <cell r="N2066">
            <v>0</v>
          </cell>
        </row>
        <row r="2067">
          <cell r="N2067">
            <v>0</v>
          </cell>
        </row>
        <row r="2068">
          <cell r="N2068">
            <v>0</v>
          </cell>
        </row>
        <row r="2069">
          <cell r="N2069">
            <v>0</v>
          </cell>
        </row>
        <row r="2070">
          <cell r="N2070">
            <v>511467.2</v>
          </cell>
        </row>
        <row r="2071">
          <cell r="N2071">
            <v>0</v>
          </cell>
        </row>
        <row r="2072">
          <cell r="N2072">
            <v>0</v>
          </cell>
        </row>
        <row r="2073">
          <cell r="N2073">
            <v>0</v>
          </cell>
        </row>
        <row r="2074">
          <cell r="N2074">
            <v>0</v>
          </cell>
        </row>
        <row r="2075">
          <cell r="N2075">
            <v>751680</v>
          </cell>
        </row>
        <row r="2076">
          <cell r="N2076">
            <v>1730000</v>
          </cell>
        </row>
        <row r="2077">
          <cell r="N2077">
            <v>190000</v>
          </cell>
        </row>
        <row r="2078">
          <cell r="N2078">
            <v>1500000</v>
          </cell>
        </row>
        <row r="2079">
          <cell r="N2079">
            <v>0</v>
          </cell>
        </row>
        <row r="2080">
          <cell r="N2080">
            <v>0</v>
          </cell>
        </row>
        <row r="2081">
          <cell r="N2081">
            <v>0</v>
          </cell>
        </row>
        <row r="2082">
          <cell r="N2082">
            <v>40000</v>
          </cell>
        </row>
        <row r="2083">
          <cell r="N2083">
            <v>39672</v>
          </cell>
        </row>
        <row r="2084">
          <cell r="N2084">
            <v>39672</v>
          </cell>
        </row>
        <row r="2085">
          <cell r="N2085">
            <v>19836</v>
          </cell>
        </row>
        <row r="2086">
          <cell r="N2086">
            <v>0</v>
          </cell>
        </row>
        <row r="2087">
          <cell r="N2087">
            <v>0</v>
          </cell>
        </row>
        <row r="2088">
          <cell r="N2088">
            <v>0</v>
          </cell>
        </row>
        <row r="2089">
          <cell r="N2089">
            <v>0</v>
          </cell>
        </row>
        <row r="2090">
          <cell r="N2090">
            <v>0</v>
          </cell>
        </row>
        <row r="2091">
          <cell r="N2091">
            <v>0</v>
          </cell>
        </row>
        <row r="2092">
          <cell r="N2092">
            <v>0</v>
          </cell>
        </row>
        <row r="2093">
          <cell r="N2093">
            <v>0</v>
          </cell>
        </row>
        <row r="2094">
          <cell r="N2094">
            <v>0</v>
          </cell>
        </row>
        <row r="2095">
          <cell r="N2095">
            <v>0</v>
          </cell>
        </row>
        <row r="2096">
          <cell r="N2096">
            <v>0</v>
          </cell>
        </row>
        <row r="2097">
          <cell r="N2097">
            <v>19836</v>
          </cell>
        </row>
        <row r="2098">
          <cell r="N2098">
            <v>4050240</v>
          </cell>
        </row>
        <row r="2099">
          <cell r="N2099">
            <v>4050240</v>
          </cell>
        </row>
        <row r="2100">
          <cell r="N2100">
            <v>4050240</v>
          </cell>
        </row>
        <row r="2101">
          <cell r="N2101">
            <v>0</v>
          </cell>
        </row>
        <row r="2102">
          <cell r="N2102">
            <v>0</v>
          </cell>
        </row>
        <row r="2103">
          <cell r="N2103">
            <v>4050240</v>
          </cell>
        </row>
        <row r="2104">
          <cell r="N2104">
            <v>3929444.3</v>
          </cell>
        </row>
        <row r="2105">
          <cell r="N2105">
            <v>120795.7</v>
          </cell>
        </row>
        <row r="2106">
          <cell r="N2106">
            <v>0</v>
          </cell>
        </row>
        <row r="2107">
          <cell r="N2107">
            <v>0</v>
          </cell>
        </row>
        <row r="2108">
          <cell r="N2108">
            <v>0</v>
          </cell>
        </row>
        <row r="2109">
          <cell r="N2109">
            <v>0</v>
          </cell>
        </row>
        <row r="2110">
          <cell r="N2110">
            <v>0</v>
          </cell>
        </row>
        <row r="2111">
          <cell r="N2111">
            <v>0</v>
          </cell>
        </row>
        <row r="2112">
          <cell r="N2112">
            <v>0</v>
          </cell>
        </row>
        <row r="2113">
          <cell r="N2113">
            <v>28249954.110000003</v>
          </cell>
        </row>
        <row r="2114">
          <cell r="N2114">
            <v>1703000</v>
          </cell>
        </row>
        <row r="2115">
          <cell r="N2115">
            <v>1703000</v>
          </cell>
        </row>
        <row r="2116">
          <cell r="N2116">
            <v>1703000</v>
          </cell>
        </row>
        <row r="2117">
          <cell r="N2117">
            <v>1703000</v>
          </cell>
        </row>
        <row r="2118">
          <cell r="N2118">
            <v>0</v>
          </cell>
        </row>
        <row r="2119">
          <cell r="N2119">
            <v>0</v>
          </cell>
        </row>
        <row r="2120">
          <cell r="N2120">
            <v>1602228.7800000003</v>
          </cell>
        </row>
        <row r="2121">
          <cell r="N2121">
            <v>427946.67000000004</v>
          </cell>
        </row>
        <row r="2122">
          <cell r="N2122">
            <v>198300.57</v>
          </cell>
        </row>
        <row r="2123">
          <cell r="N2123">
            <v>198300.57</v>
          </cell>
        </row>
        <row r="2124">
          <cell r="N2124">
            <v>229646.1</v>
          </cell>
        </row>
        <row r="2125">
          <cell r="N2125">
            <v>229646.1</v>
          </cell>
        </row>
        <row r="2126">
          <cell r="N2126">
            <v>317693.41000000003</v>
          </cell>
        </row>
        <row r="2127">
          <cell r="N2127">
            <v>197704.93</v>
          </cell>
        </row>
        <row r="2128">
          <cell r="N2128">
            <v>197704.93</v>
          </cell>
        </row>
        <row r="2129">
          <cell r="N2129">
            <v>0</v>
          </cell>
        </row>
        <row r="2130">
          <cell r="N2130">
            <v>0</v>
          </cell>
        </row>
        <row r="2131">
          <cell r="N2131">
            <v>119988.48000000001</v>
          </cell>
        </row>
        <row r="2132">
          <cell r="N2132">
            <v>119988.48000000001</v>
          </cell>
        </row>
        <row r="2133">
          <cell r="N2133">
            <v>37025</v>
          </cell>
        </row>
        <row r="2134">
          <cell r="N2134">
            <v>37025</v>
          </cell>
        </row>
        <row r="2135">
          <cell r="N2135">
            <v>37025</v>
          </cell>
        </row>
        <row r="2136">
          <cell r="N2136">
            <v>449995.56</v>
          </cell>
        </row>
        <row r="2137">
          <cell r="N2137">
            <v>449995.56</v>
          </cell>
        </row>
        <row r="2138">
          <cell r="N2138">
            <v>449995.56</v>
          </cell>
        </row>
        <row r="2139">
          <cell r="N2139">
            <v>0</v>
          </cell>
        </row>
        <row r="2140">
          <cell r="N2140">
            <v>156172.03</v>
          </cell>
        </row>
        <row r="2141">
          <cell r="N2141">
            <v>105429.8</v>
          </cell>
        </row>
        <row r="2142">
          <cell r="N2142">
            <v>105429.8</v>
          </cell>
        </row>
        <row r="2143">
          <cell r="N2143">
            <v>50742.229999999996</v>
          </cell>
        </row>
        <row r="2144">
          <cell r="N2144">
            <v>50742.229999999996</v>
          </cell>
        </row>
        <row r="2145">
          <cell r="N2145">
            <v>213396.11</v>
          </cell>
        </row>
        <row r="2146">
          <cell r="N2146">
            <v>32990.400000000001</v>
          </cell>
        </row>
        <row r="2147">
          <cell r="N2147">
            <v>32990.400000000001</v>
          </cell>
        </row>
        <row r="2148">
          <cell r="N2148">
            <v>0</v>
          </cell>
        </row>
        <row r="2149">
          <cell r="N2149">
            <v>0</v>
          </cell>
        </row>
        <row r="2150">
          <cell r="N2150">
            <v>106921.31</v>
          </cell>
        </row>
        <row r="2151">
          <cell r="N2151">
            <v>106921.31</v>
          </cell>
        </row>
        <row r="2152">
          <cell r="N2152">
            <v>73484.399999999994</v>
          </cell>
        </row>
        <row r="2153">
          <cell r="N2153">
            <v>73484.399999999994</v>
          </cell>
        </row>
        <row r="2154">
          <cell r="N2154">
            <v>0</v>
          </cell>
        </row>
        <row r="2155">
          <cell r="N2155">
            <v>0</v>
          </cell>
        </row>
        <row r="2156">
          <cell r="N2156">
            <v>21740009.420000002</v>
          </cell>
        </row>
        <row r="2157">
          <cell r="N2157">
            <v>4800000</v>
          </cell>
        </row>
        <row r="2158">
          <cell r="N2158">
            <v>1800000</v>
          </cell>
        </row>
        <row r="2159">
          <cell r="N2159">
            <v>1800000</v>
          </cell>
        </row>
        <row r="2160">
          <cell r="N2160">
            <v>3000000</v>
          </cell>
        </row>
        <row r="2161">
          <cell r="N2161">
            <v>3000000</v>
          </cell>
        </row>
        <row r="2162">
          <cell r="N2162">
            <v>0</v>
          </cell>
        </row>
        <row r="2163">
          <cell r="N2163">
            <v>0</v>
          </cell>
        </row>
        <row r="2164">
          <cell r="N2164">
            <v>0</v>
          </cell>
        </row>
        <row r="2165">
          <cell r="N2165">
            <v>0</v>
          </cell>
        </row>
        <row r="2166">
          <cell r="N2166">
            <v>49000</v>
          </cell>
        </row>
        <row r="2167">
          <cell r="N2167">
            <v>0</v>
          </cell>
        </row>
        <row r="2168">
          <cell r="N2168">
            <v>0</v>
          </cell>
        </row>
        <row r="2169">
          <cell r="N2169">
            <v>49000</v>
          </cell>
        </row>
        <row r="2170">
          <cell r="N2170">
            <v>49000</v>
          </cell>
        </row>
        <row r="2171">
          <cell r="N2171">
            <v>476162.24</v>
          </cell>
        </row>
        <row r="2172">
          <cell r="N2172">
            <v>0</v>
          </cell>
        </row>
        <row r="2173">
          <cell r="N2173">
            <v>0</v>
          </cell>
        </row>
        <row r="2174">
          <cell r="N2174">
            <v>0</v>
          </cell>
        </row>
        <row r="2175">
          <cell r="N2175">
            <v>0</v>
          </cell>
        </row>
        <row r="2176">
          <cell r="N2176">
            <v>155000</v>
          </cell>
        </row>
        <row r="2177">
          <cell r="N2177">
            <v>155000</v>
          </cell>
        </row>
        <row r="2178">
          <cell r="N2178">
            <v>321162.23999999999</v>
          </cell>
        </row>
        <row r="2179">
          <cell r="N2179">
            <v>321162.23999999999</v>
          </cell>
        </row>
        <row r="2180">
          <cell r="N2180">
            <v>0</v>
          </cell>
        </row>
        <row r="2181">
          <cell r="N2181">
            <v>0</v>
          </cell>
        </row>
        <row r="2182">
          <cell r="N2182">
            <v>0</v>
          </cell>
        </row>
        <row r="2183">
          <cell r="N2183">
            <v>0</v>
          </cell>
        </row>
        <row r="2184">
          <cell r="N2184">
            <v>0</v>
          </cell>
        </row>
        <row r="2185">
          <cell r="N2185">
            <v>16019847.18</v>
          </cell>
        </row>
        <row r="2186">
          <cell r="N2186">
            <v>1416872.5</v>
          </cell>
        </row>
        <row r="2187">
          <cell r="N2187">
            <v>1416872.5</v>
          </cell>
        </row>
        <row r="2188">
          <cell r="N2188">
            <v>0</v>
          </cell>
        </row>
        <row r="2189">
          <cell r="N2189">
            <v>0</v>
          </cell>
        </row>
        <row r="2190">
          <cell r="N2190">
            <v>10800251.59</v>
          </cell>
        </row>
        <row r="2191">
          <cell r="N2191">
            <v>10800251.59</v>
          </cell>
        </row>
        <row r="2192">
          <cell r="N2192">
            <v>7650251.5899999999</v>
          </cell>
        </row>
        <row r="2193">
          <cell r="N2193">
            <v>2200000</v>
          </cell>
        </row>
        <row r="2194">
          <cell r="N2194">
            <v>50000</v>
          </cell>
        </row>
        <row r="2195">
          <cell r="N2195">
            <v>900000</v>
          </cell>
        </row>
        <row r="2196">
          <cell r="N2196">
            <v>219779.8</v>
          </cell>
        </row>
        <row r="2197">
          <cell r="N2197">
            <v>219779.8</v>
          </cell>
        </row>
        <row r="2198">
          <cell r="N2198">
            <v>3336394.1700000004</v>
          </cell>
        </row>
        <row r="2199">
          <cell r="N2199">
            <v>3336394.1700000004</v>
          </cell>
        </row>
        <row r="2200">
          <cell r="N2200">
            <v>2030672.62</v>
          </cell>
        </row>
        <row r="2201">
          <cell r="N2201">
            <v>547933.23</v>
          </cell>
        </row>
        <row r="2202">
          <cell r="N2202">
            <v>69881.11</v>
          </cell>
        </row>
        <row r="2203">
          <cell r="N2203">
            <v>176301.44</v>
          </cell>
        </row>
        <row r="2204">
          <cell r="N2204">
            <v>325646.80000000005</v>
          </cell>
        </row>
        <row r="2205">
          <cell r="N2205">
            <v>155958.97</v>
          </cell>
        </row>
        <row r="2206">
          <cell r="N2206">
            <v>30000</v>
          </cell>
        </row>
        <row r="2207">
          <cell r="N2207">
            <v>246549.12</v>
          </cell>
        </row>
        <row r="2208">
          <cell r="N2208">
            <v>246549.12</v>
          </cell>
        </row>
        <row r="2209">
          <cell r="N2209">
            <v>395000</v>
          </cell>
        </row>
        <row r="2210">
          <cell r="N2210">
            <v>170000</v>
          </cell>
        </row>
        <row r="2211">
          <cell r="N2211">
            <v>170000</v>
          </cell>
        </row>
        <row r="2212">
          <cell r="N2212">
            <v>0</v>
          </cell>
        </row>
        <row r="2213">
          <cell r="N2213">
            <v>0</v>
          </cell>
        </row>
        <row r="2214">
          <cell r="N2214">
            <v>225000</v>
          </cell>
        </row>
        <row r="2215">
          <cell r="N2215">
            <v>225000</v>
          </cell>
        </row>
        <row r="2216">
          <cell r="N2216">
            <v>2206002.2600000002</v>
          </cell>
        </row>
        <row r="2217">
          <cell r="N2217">
            <v>903857.60000000009</v>
          </cell>
        </row>
        <row r="2218">
          <cell r="N2218">
            <v>0</v>
          </cell>
        </row>
        <row r="2219">
          <cell r="N2219">
            <v>0</v>
          </cell>
        </row>
        <row r="2220">
          <cell r="N2220">
            <v>0</v>
          </cell>
        </row>
        <row r="2221">
          <cell r="N2221">
            <v>640862.4</v>
          </cell>
        </row>
        <row r="2222">
          <cell r="N2222">
            <v>0</v>
          </cell>
        </row>
        <row r="2223">
          <cell r="N2223">
            <v>0</v>
          </cell>
        </row>
        <row r="2224">
          <cell r="N2224">
            <v>320322.40000000002</v>
          </cell>
        </row>
        <row r="2225">
          <cell r="N2225">
            <v>0</v>
          </cell>
        </row>
        <row r="2226">
          <cell r="N2226">
            <v>0</v>
          </cell>
        </row>
        <row r="2227">
          <cell r="N2227">
            <v>0</v>
          </cell>
        </row>
        <row r="2228">
          <cell r="N2228">
            <v>0</v>
          </cell>
        </row>
        <row r="2229">
          <cell r="N2229">
            <v>0</v>
          </cell>
        </row>
        <row r="2230">
          <cell r="N2230">
            <v>0</v>
          </cell>
        </row>
        <row r="2231">
          <cell r="N2231">
            <v>0</v>
          </cell>
        </row>
        <row r="2232">
          <cell r="N2232">
            <v>0</v>
          </cell>
        </row>
        <row r="2233">
          <cell r="N2233">
            <v>0</v>
          </cell>
        </row>
        <row r="2234">
          <cell r="N2234">
            <v>0</v>
          </cell>
        </row>
        <row r="2235">
          <cell r="N2235">
            <v>0</v>
          </cell>
        </row>
        <row r="2236">
          <cell r="N2236">
            <v>88896.320000000007</v>
          </cell>
        </row>
        <row r="2237">
          <cell r="N2237">
            <v>219643.68</v>
          </cell>
        </row>
        <row r="2238">
          <cell r="N2238">
            <v>12000</v>
          </cell>
        </row>
        <row r="2239">
          <cell r="N2239">
            <v>262995.20000000001</v>
          </cell>
        </row>
        <row r="2240">
          <cell r="N2240">
            <v>194903.2</v>
          </cell>
        </row>
        <row r="2241">
          <cell r="N2241">
            <v>0</v>
          </cell>
        </row>
        <row r="2242">
          <cell r="N2242">
            <v>68092</v>
          </cell>
        </row>
        <row r="2243">
          <cell r="N2243">
            <v>308531</v>
          </cell>
        </row>
        <row r="2244">
          <cell r="N2244">
            <v>308531</v>
          </cell>
        </row>
        <row r="2245">
          <cell r="N2245">
            <v>308531</v>
          </cell>
        </row>
        <row r="2246">
          <cell r="N2246">
            <v>18096</v>
          </cell>
        </row>
        <row r="2247">
          <cell r="N2247">
            <v>0</v>
          </cell>
        </row>
        <row r="2248">
          <cell r="N2248">
            <v>0</v>
          </cell>
        </row>
        <row r="2249">
          <cell r="N2249">
            <v>18096</v>
          </cell>
        </row>
        <row r="2250">
          <cell r="N2250">
            <v>18096</v>
          </cell>
        </row>
        <row r="2251">
          <cell r="N2251">
            <v>975517.66</v>
          </cell>
        </row>
        <row r="2252">
          <cell r="N2252">
            <v>0</v>
          </cell>
        </row>
        <row r="2253">
          <cell r="N2253">
            <v>0</v>
          </cell>
        </row>
        <row r="2254">
          <cell r="N2254">
            <v>0</v>
          </cell>
        </row>
        <row r="2255">
          <cell r="N2255">
            <v>0</v>
          </cell>
        </row>
        <row r="2256">
          <cell r="N2256">
            <v>243876.89</v>
          </cell>
        </row>
        <row r="2257">
          <cell r="N2257">
            <v>0</v>
          </cell>
        </row>
        <row r="2258">
          <cell r="N2258">
            <v>0</v>
          </cell>
        </row>
        <row r="2259">
          <cell r="N2259">
            <v>0</v>
          </cell>
        </row>
        <row r="2260">
          <cell r="N2260">
            <v>0</v>
          </cell>
        </row>
        <row r="2261">
          <cell r="N2261">
            <v>0</v>
          </cell>
        </row>
        <row r="2262">
          <cell r="N2262">
            <v>0</v>
          </cell>
        </row>
        <row r="2263">
          <cell r="N2263">
            <v>0</v>
          </cell>
        </row>
        <row r="2264">
          <cell r="N2264">
            <v>0</v>
          </cell>
        </row>
        <row r="2265">
          <cell r="N2265">
            <v>108397.36</v>
          </cell>
        </row>
        <row r="2266">
          <cell r="N2266">
            <v>0</v>
          </cell>
        </row>
        <row r="2267">
          <cell r="N2267">
            <v>0</v>
          </cell>
        </row>
        <row r="2268">
          <cell r="N2268">
            <v>0</v>
          </cell>
        </row>
        <row r="2269">
          <cell r="N2269">
            <v>0</v>
          </cell>
        </row>
        <row r="2270">
          <cell r="N2270">
            <v>125479.53</v>
          </cell>
        </row>
        <row r="2271">
          <cell r="N2271">
            <v>0</v>
          </cell>
        </row>
        <row r="2272">
          <cell r="N2272">
            <v>0</v>
          </cell>
        </row>
        <row r="2273">
          <cell r="N2273">
            <v>0</v>
          </cell>
        </row>
        <row r="2274">
          <cell r="N2274">
            <v>10000</v>
          </cell>
        </row>
        <row r="2275">
          <cell r="N2275">
            <v>731640.77</v>
          </cell>
        </row>
        <row r="2276">
          <cell r="N2276">
            <v>0</v>
          </cell>
        </row>
        <row r="2277">
          <cell r="N2277">
            <v>0</v>
          </cell>
        </row>
        <row r="2278">
          <cell r="N2278">
            <v>0</v>
          </cell>
        </row>
        <row r="2279">
          <cell r="N2279">
            <v>88745.57</v>
          </cell>
        </row>
        <row r="2280">
          <cell r="N2280">
            <v>0</v>
          </cell>
        </row>
        <row r="2281">
          <cell r="N2281">
            <v>0</v>
          </cell>
        </row>
        <row r="2282">
          <cell r="N2282">
            <v>219936</v>
          </cell>
        </row>
        <row r="2283">
          <cell r="N2283">
            <v>123076</v>
          </cell>
        </row>
        <row r="2284">
          <cell r="N2284">
            <v>0</v>
          </cell>
        </row>
        <row r="2285">
          <cell r="N2285">
            <v>0</v>
          </cell>
        </row>
        <row r="2286">
          <cell r="N2286">
            <v>0</v>
          </cell>
        </row>
        <row r="2287">
          <cell r="N2287">
            <v>299883.2</v>
          </cell>
        </row>
        <row r="2288">
          <cell r="N2288">
            <v>0</v>
          </cell>
        </row>
        <row r="2289">
          <cell r="N2289">
            <v>0</v>
          </cell>
        </row>
        <row r="2290">
          <cell r="N2290">
            <v>0</v>
          </cell>
        </row>
        <row r="2291">
          <cell r="N2291">
            <v>0</v>
          </cell>
        </row>
        <row r="2292">
          <cell r="N2292">
            <v>0</v>
          </cell>
        </row>
        <row r="2293">
          <cell r="N2293">
            <v>0</v>
          </cell>
        </row>
        <row r="2294">
          <cell r="N2294">
            <v>0</v>
          </cell>
        </row>
        <row r="2295">
          <cell r="N2295">
            <v>0</v>
          </cell>
        </row>
        <row r="2296">
          <cell r="N2296">
            <v>998713.65</v>
          </cell>
        </row>
        <row r="2297">
          <cell r="N2297">
            <v>998713.65</v>
          </cell>
        </row>
        <row r="2298">
          <cell r="N2298">
            <v>998713.65</v>
          </cell>
        </row>
        <row r="2299">
          <cell r="N2299">
            <v>0</v>
          </cell>
        </row>
        <row r="2300">
          <cell r="N2300">
            <v>0</v>
          </cell>
        </row>
        <row r="2301">
          <cell r="N2301">
            <v>998713.65</v>
          </cell>
        </row>
        <row r="2302">
          <cell r="N2302">
            <v>998713.65</v>
          </cell>
        </row>
        <row r="2303">
          <cell r="N2303">
            <v>0</v>
          </cell>
        </row>
        <row r="2304">
          <cell r="N2304">
            <v>0</v>
          </cell>
        </row>
        <row r="2305">
          <cell r="N2305">
            <v>0</v>
          </cell>
        </row>
        <row r="2306">
          <cell r="N2306">
            <v>0</v>
          </cell>
        </row>
        <row r="2307">
          <cell r="N2307">
            <v>0</v>
          </cell>
        </row>
        <row r="2308">
          <cell r="N2308">
            <v>5749103.3599999994</v>
          </cell>
        </row>
        <row r="2309">
          <cell r="N2309">
            <v>2783300</v>
          </cell>
        </row>
        <row r="2310">
          <cell r="N2310">
            <v>2783300</v>
          </cell>
        </row>
        <row r="2311">
          <cell r="N2311">
            <v>2783300</v>
          </cell>
        </row>
        <row r="2312">
          <cell r="N2312">
            <v>2783300</v>
          </cell>
        </row>
        <row r="2313">
          <cell r="N2313">
            <v>0</v>
          </cell>
        </row>
        <row r="2314">
          <cell r="N2314">
            <v>0</v>
          </cell>
        </row>
        <row r="2315">
          <cell r="N2315">
            <v>84307.13</v>
          </cell>
        </row>
        <row r="2316">
          <cell r="N2316">
            <v>84307.13</v>
          </cell>
        </row>
        <row r="2317">
          <cell r="N2317">
            <v>18852.080000000002</v>
          </cell>
        </row>
        <row r="2318">
          <cell r="N2318">
            <v>18852.080000000002</v>
          </cell>
        </row>
        <row r="2319">
          <cell r="N2319">
            <v>0</v>
          </cell>
        </row>
        <row r="2320">
          <cell r="N2320">
            <v>0</v>
          </cell>
        </row>
        <row r="2321">
          <cell r="N2321">
            <v>65455.05</v>
          </cell>
        </row>
        <row r="2322">
          <cell r="N2322">
            <v>65455.05</v>
          </cell>
        </row>
        <row r="2323">
          <cell r="N2323">
            <v>0</v>
          </cell>
        </row>
        <row r="2324">
          <cell r="N2324">
            <v>0</v>
          </cell>
        </row>
        <row r="2325">
          <cell r="N2325">
            <v>0</v>
          </cell>
        </row>
        <row r="2326">
          <cell r="N2326">
            <v>0</v>
          </cell>
        </row>
        <row r="2327">
          <cell r="N2327">
            <v>0</v>
          </cell>
        </row>
        <row r="2328">
          <cell r="N2328">
            <v>0</v>
          </cell>
        </row>
        <row r="2329">
          <cell r="N2329">
            <v>0</v>
          </cell>
        </row>
        <row r="2330">
          <cell r="N2330">
            <v>0</v>
          </cell>
        </row>
        <row r="2331">
          <cell r="N2331">
            <v>0</v>
          </cell>
        </row>
        <row r="2332">
          <cell r="N2332">
            <v>0</v>
          </cell>
        </row>
        <row r="2333">
          <cell r="N2333">
            <v>0</v>
          </cell>
        </row>
        <row r="2334">
          <cell r="N2334">
            <v>0</v>
          </cell>
        </row>
        <row r="2335">
          <cell r="N2335">
            <v>0</v>
          </cell>
        </row>
        <row r="2336">
          <cell r="N2336">
            <v>0</v>
          </cell>
        </row>
        <row r="2337">
          <cell r="N2337">
            <v>0</v>
          </cell>
        </row>
        <row r="2338">
          <cell r="N2338">
            <v>0</v>
          </cell>
        </row>
        <row r="2339">
          <cell r="N2339">
            <v>0</v>
          </cell>
        </row>
        <row r="2340">
          <cell r="N2340">
            <v>0</v>
          </cell>
        </row>
        <row r="2341">
          <cell r="N2341">
            <v>0</v>
          </cell>
        </row>
        <row r="2342">
          <cell r="N2342">
            <v>0</v>
          </cell>
        </row>
        <row r="2343">
          <cell r="N2343">
            <v>1199871.3400000001</v>
          </cell>
        </row>
        <row r="2344">
          <cell r="N2344">
            <v>90180</v>
          </cell>
        </row>
        <row r="2345">
          <cell r="N2345">
            <v>0</v>
          </cell>
        </row>
        <row r="2346">
          <cell r="N2346">
            <v>0</v>
          </cell>
        </row>
        <row r="2347">
          <cell r="N2347">
            <v>90180</v>
          </cell>
        </row>
        <row r="2348">
          <cell r="N2348">
            <v>90180</v>
          </cell>
        </row>
        <row r="2349">
          <cell r="N2349">
            <v>0</v>
          </cell>
        </row>
        <row r="2350">
          <cell r="N2350">
            <v>210000</v>
          </cell>
        </row>
        <row r="2351">
          <cell r="N2351">
            <v>0</v>
          </cell>
        </row>
        <row r="2352">
          <cell r="N2352">
            <v>0</v>
          </cell>
        </row>
        <row r="2353">
          <cell r="N2353">
            <v>0</v>
          </cell>
        </row>
        <row r="2354">
          <cell r="N2354">
            <v>0</v>
          </cell>
        </row>
        <row r="2355">
          <cell r="N2355">
            <v>210000</v>
          </cell>
        </row>
        <row r="2356">
          <cell r="N2356">
            <v>210000</v>
          </cell>
        </row>
        <row r="2357">
          <cell r="N2357">
            <v>899691.34000000008</v>
          </cell>
        </row>
        <row r="2358">
          <cell r="N2358">
            <v>399884.02</v>
          </cell>
        </row>
        <row r="2359">
          <cell r="N2359">
            <v>399884.02</v>
          </cell>
        </row>
        <row r="2360">
          <cell r="N2360">
            <v>0</v>
          </cell>
        </row>
        <row r="2361">
          <cell r="N2361">
            <v>0</v>
          </cell>
        </row>
        <row r="2362">
          <cell r="N2362">
            <v>499807.32</v>
          </cell>
        </row>
        <row r="2363">
          <cell r="N2363">
            <v>0</v>
          </cell>
        </row>
        <row r="2364">
          <cell r="N2364">
            <v>0</v>
          </cell>
        </row>
        <row r="2365">
          <cell r="N2365">
            <v>0</v>
          </cell>
        </row>
        <row r="2366">
          <cell r="N2366">
            <v>499807.32</v>
          </cell>
        </row>
        <row r="2367">
          <cell r="N2367">
            <v>0</v>
          </cell>
        </row>
        <row r="2368">
          <cell r="N2368">
            <v>0</v>
          </cell>
        </row>
        <row r="2369">
          <cell r="N2369">
            <v>0</v>
          </cell>
        </row>
        <row r="2370">
          <cell r="N2370">
            <v>0</v>
          </cell>
        </row>
        <row r="2371">
          <cell r="N2371">
            <v>0</v>
          </cell>
        </row>
        <row r="2372">
          <cell r="N2372">
            <v>0</v>
          </cell>
        </row>
        <row r="2373">
          <cell r="N2373">
            <v>0</v>
          </cell>
        </row>
        <row r="2374">
          <cell r="N2374">
            <v>0</v>
          </cell>
        </row>
        <row r="2375">
          <cell r="N2375">
            <v>0</v>
          </cell>
        </row>
        <row r="2376">
          <cell r="N2376">
            <v>1681624.8900000001</v>
          </cell>
        </row>
        <row r="2377">
          <cell r="N2377">
            <v>632476.69000000006</v>
          </cell>
        </row>
        <row r="2378">
          <cell r="N2378">
            <v>8995.7999999999993</v>
          </cell>
        </row>
        <row r="2379">
          <cell r="N2379">
            <v>0</v>
          </cell>
        </row>
        <row r="2380">
          <cell r="N2380">
            <v>8995.7999999999993</v>
          </cell>
        </row>
        <row r="2381">
          <cell r="N2381">
            <v>0</v>
          </cell>
        </row>
        <row r="2382">
          <cell r="N2382">
            <v>623480.89</v>
          </cell>
        </row>
        <row r="2383">
          <cell r="N2383">
            <v>0</v>
          </cell>
        </row>
        <row r="2384">
          <cell r="N2384">
            <v>18367.650000000001</v>
          </cell>
        </row>
        <row r="2385">
          <cell r="N2385">
            <v>0</v>
          </cell>
        </row>
        <row r="2386">
          <cell r="N2386">
            <v>0</v>
          </cell>
        </row>
        <row r="2387">
          <cell r="N2387">
            <v>0</v>
          </cell>
        </row>
        <row r="2388">
          <cell r="N2388">
            <v>0</v>
          </cell>
        </row>
        <row r="2389">
          <cell r="N2389">
            <v>0</v>
          </cell>
        </row>
        <row r="2390">
          <cell r="N2390">
            <v>0</v>
          </cell>
        </row>
        <row r="2391">
          <cell r="N2391">
            <v>0</v>
          </cell>
        </row>
        <row r="2392">
          <cell r="N2392">
            <v>0</v>
          </cell>
        </row>
        <row r="2393">
          <cell r="N2393">
            <v>0</v>
          </cell>
        </row>
        <row r="2394">
          <cell r="N2394">
            <v>0</v>
          </cell>
        </row>
        <row r="2395">
          <cell r="N2395">
            <v>0</v>
          </cell>
        </row>
        <row r="2396">
          <cell r="N2396">
            <v>0</v>
          </cell>
        </row>
        <row r="2397">
          <cell r="N2397">
            <v>0</v>
          </cell>
        </row>
        <row r="2398">
          <cell r="N2398">
            <v>0</v>
          </cell>
        </row>
        <row r="2399">
          <cell r="N2399">
            <v>5000</v>
          </cell>
        </row>
        <row r="2400">
          <cell r="N2400">
            <v>0</v>
          </cell>
        </row>
        <row r="2401">
          <cell r="N2401">
            <v>0</v>
          </cell>
        </row>
        <row r="2402">
          <cell r="N2402">
            <v>398283.68</v>
          </cell>
        </row>
        <row r="2403">
          <cell r="N2403">
            <v>0</v>
          </cell>
        </row>
        <row r="2404">
          <cell r="N2404">
            <v>0</v>
          </cell>
        </row>
        <row r="2405">
          <cell r="N2405">
            <v>0</v>
          </cell>
        </row>
        <row r="2406">
          <cell r="N2406">
            <v>58375.839999999997</v>
          </cell>
        </row>
        <row r="2407">
          <cell r="N2407">
            <v>17667.96</v>
          </cell>
        </row>
        <row r="2408">
          <cell r="N2408">
            <v>125785.76</v>
          </cell>
        </row>
        <row r="2409">
          <cell r="N2409">
            <v>0</v>
          </cell>
        </row>
        <row r="2410">
          <cell r="N2410">
            <v>0</v>
          </cell>
        </row>
        <row r="2411">
          <cell r="N2411">
            <v>0</v>
          </cell>
        </row>
        <row r="2412">
          <cell r="N2412">
            <v>0</v>
          </cell>
        </row>
        <row r="2413">
          <cell r="N2413">
            <v>0</v>
          </cell>
        </row>
        <row r="2414">
          <cell r="N2414">
            <v>0</v>
          </cell>
        </row>
        <row r="2415">
          <cell r="N2415">
            <v>0</v>
          </cell>
        </row>
        <row r="2416">
          <cell r="N2416">
            <v>0</v>
          </cell>
        </row>
        <row r="2417">
          <cell r="N2417">
            <v>0</v>
          </cell>
        </row>
        <row r="2418">
          <cell r="N2418">
            <v>0</v>
          </cell>
        </row>
        <row r="2419">
          <cell r="N2419">
            <v>0</v>
          </cell>
        </row>
        <row r="2420">
          <cell r="N2420">
            <v>0</v>
          </cell>
        </row>
        <row r="2421">
          <cell r="N2421">
            <v>0</v>
          </cell>
        </row>
        <row r="2422">
          <cell r="N2422">
            <v>0</v>
          </cell>
        </row>
        <row r="2423">
          <cell r="N2423">
            <v>0</v>
          </cell>
        </row>
        <row r="2424">
          <cell r="N2424">
            <v>0</v>
          </cell>
        </row>
        <row r="2425">
          <cell r="N2425">
            <v>0</v>
          </cell>
        </row>
        <row r="2426">
          <cell r="N2426">
            <v>0</v>
          </cell>
        </row>
        <row r="2427">
          <cell r="N2427">
            <v>0</v>
          </cell>
        </row>
        <row r="2428">
          <cell r="N2428">
            <v>0</v>
          </cell>
        </row>
        <row r="2429">
          <cell r="N2429">
            <v>0</v>
          </cell>
        </row>
        <row r="2430">
          <cell r="N2430">
            <v>0</v>
          </cell>
        </row>
        <row r="2431">
          <cell r="N2431">
            <v>0</v>
          </cell>
        </row>
        <row r="2432">
          <cell r="N2432">
            <v>0</v>
          </cell>
        </row>
        <row r="2433">
          <cell r="N2433">
            <v>0</v>
          </cell>
        </row>
        <row r="2434">
          <cell r="N2434">
            <v>0</v>
          </cell>
        </row>
        <row r="2435">
          <cell r="N2435">
            <v>0</v>
          </cell>
        </row>
        <row r="2436">
          <cell r="N2436">
            <v>0</v>
          </cell>
        </row>
        <row r="2437">
          <cell r="N2437">
            <v>1049148.2</v>
          </cell>
        </row>
        <row r="2438">
          <cell r="N2438">
            <v>0</v>
          </cell>
        </row>
        <row r="2439">
          <cell r="N2439">
            <v>0</v>
          </cell>
        </row>
        <row r="2440">
          <cell r="N2440">
            <v>1049148.2</v>
          </cell>
        </row>
        <row r="2441">
          <cell r="N2441">
            <v>1049148.2</v>
          </cell>
        </row>
        <row r="2442">
          <cell r="N2442">
            <v>0</v>
          </cell>
        </row>
        <row r="2443">
          <cell r="N2443">
            <v>0</v>
          </cell>
        </row>
        <row r="2444">
          <cell r="N2444">
            <v>0</v>
          </cell>
        </row>
        <row r="2445">
          <cell r="N2445">
            <v>0</v>
          </cell>
        </row>
        <row r="2446">
          <cell r="N2446">
            <v>0</v>
          </cell>
        </row>
        <row r="2447">
          <cell r="N2447">
            <v>0</v>
          </cell>
        </row>
        <row r="2448">
          <cell r="N2448">
            <v>0</v>
          </cell>
        </row>
        <row r="2449">
          <cell r="N2449">
            <v>0</v>
          </cell>
        </row>
        <row r="2450">
          <cell r="N2450">
            <v>0</v>
          </cell>
        </row>
        <row r="2451">
          <cell r="N2451">
            <v>0</v>
          </cell>
        </row>
        <row r="2452">
          <cell r="N2452">
            <v>0</v>
          </cell>
        </row>
        <row r="2453">
          <cell r="N2453">
            <v>0</v>
          </cell>
        </row>
        <row r="2454">
          <cell r="N2454">
            <v>6650923.4500000002</v>
          </cell>
        </row>
        <row r="2455">
          <cell r="N2455">
            <v>4495000</v>
          </cell>
        </row>
        <row r="2456">
          <cell r="N2456">
            <v>4495000</v>
          </cell>
        </row>
        <row r="2457">
          <cell r="N2457">
            <v>4495000</v>
          </cell>
        </row>
        <row r="2458">
          <cell r="N2458">
            <v>4495000</v>
          </cell>
        </row>
        <row r="2459">
          <cell r="N2459">
            <v>0</v>
          </cell>
        </row>
        <row r="2460">
          <cell r="N2460">
            <v>0</v>
          </cell>
        </row>
        <row r="2461">
          <cell r="N2461">
            <v>0</v>
          </cell>
        </row>
        <row r="2462">
          <cell r="N2462">
            <v>0</v>
          </cell>
        </row>
        <row r="2463">
          <cell r="N2463">
            <v>0</v>
          </cell>
        </row>
        <row r="2464">
          <cell r="N2464">
            <v>0</v>
          </cell>
        </row>
        <row r="2465">
          <cell r="N2465">
            <v>0</v>
          </cell>
        </row>
        <row r="2466">
          <cell r="N2466">
            <v>0</v>
          </cell>
        </row>
        <row r="2467">
          <cell r="N2467">
            <v>0</v>
          </cell>
        </row>
        <row r="2468">
          <cell r="N2468">
            <v>0</v>
          </cell>
        </row>
        <row r="2469">
          <cell r="N2469">
            <v>0</v>
          </cell>
        </row>
        <row r="2470">
          <cell r="N2470">
            <v>0</v>
          </cell>
        </row>
        <row r="2471">
          <cell r="N2471">
            <v>0</v>
          </cell>
        </row>
        <row r="2472">
          <cell r="N2472">
            <v>0</v>
          </cell>
        </row>
        <row r="2473">
          <cell r="N2473">
            <v>0</v>
          </cell>
        </row>
        <row r="2474">
          <cell r="N2474">
            <v>0</v>
          </cell>
        </row>
        <row r="2475">
          <cell r="N2475">
            <v>0</v>
          </cell>
        </row>
        <row r="2476">
          <cell r="N2476">
            <v>0</v>
          </cell>
        </row>
        <row r="2477">
          <cell r="N2477">
            <v>0</v>
          </cell>
        </row>
        <row r="2478">
          <cell r="N2478">
            <v>0</v>
          </cell>
        </row>
        <row r="2479">
          <cell r="N2479">
            <v>0</v>
          </cell>
        </row>
        <row r="2480">
          <cell r="N2480">
            <v>0</v>
          </cell>
        </row>
        <row r="2481">
          <cell r="N2481">
            <v>197970.24</v>
          </cell>
        </row>
        <row r="2482">
          <cell r="N2482">
            <v>0</v>
          </cell>
        </row>
        <row r="2483">
          <cell r="N2483">
            <v>0</v>
          </cell>
        </row>
        <row r="2484">
          <cell r="N2484">
            <v>0</v>
          </cell>
        </row>
        <row r="2485">
          <cell r="N2485">
            <v>0</v>
          </cell>
        </row>
        <row r="2486">
          <cell r="N2486">
            <v>0</v>
          </cell>
        </row>
        <row r="2487">
          <cell r="N2487">
            <v>0</v>
          </cell>
        </row>
        <row r="2488">
          <cell r="N2488">
            <v>0</v>
          </cell>
        </row>
        <row r="2489">
          <cell r="N2489">
            <v>0</v>
          </cell>
        </row>
        <row r="2490">
          <cell r="N2490">
            <v>0</v>
          </cell>
        </row>
        <row r="2491">
          <cell r="N2491">
            <v>0</v>
          </cell>
        </row>
        <row r="2492">
          <cell r="N2492">
            <v>0</v>
          </cell>
        </row>
        <row r="2493">
          <cell r="N2493">
            <v>0</v>
          </cell>
        </row>
        <row r="2494">
          <cell r="N2494">
            <v>0</v>
          </cell>
        </row>
        <row r="2495">
          <cell r="N2495">
            <v>0</v>
          </cell>
        </row>
        <row r="2496">
          <cell r="N2496">
            <v>0</v>
          </cell>
        </row>
        <row r="2497">
          <cell r="N2497">
            <v>0</v>
          </cell>
        </row>
        <row r="2498">
          <cell r="N2498">
            <v>0</v>
          </cell>
        </row>
        <row r="2499">
          <cell r="N2499">
            <v>0</v>
          </cell>
        </row>
        <row r="2500">
          <cell r="N2500">
            <v>0</v>
          </cell>
        </row>
        <row r="2501">
          <cell r="N2501">
            <v>0</v>
          </cell>
        </row>
        <row r="2502">
          <cell r="N2502">
            <v>0</v>
          </cell>
        </row>
        <row r="2503">
          <cell r="N2503">
            <v>0</v>
          </cell>
        </row>
        <row r="2504">
          <cell r="N2504">
            <v>0</v>
          </cell>
        </row>
        <row r="2505">
          <cell r="N2505">
            <v>0</v>
          </cell>
        </row>
        <row r="2506">
          <cell r="N2506">
            <v>0</v>
          </cell>
        </row>
        <row r="2507">
          <cell r="N2507">
            <v>0</v>
          </cell>
        </row>
        <row r="2508">
          <cell r="N2508">
            <v>0</v>
          </cell>
        </row>
        <row r="2509">
          <cell r="N2509">
            <v>0</v>
          </cell>
        </row>
        <row r="2510">
          <cell r="N2510">
            <v>197970.24</v>
          </cell>
        </row>
        <row r="2511">
          <cell r="N2511">
            <v>197970.24</v>
          </cell>
        </row>
        <row r="2512">
          <cell r="N2512">
            <v>197970.24</v>
          </cell>
        </row>
        <row r="2513">
          <cell r="N2513">
            <v>0</v>
          </cell>
        </row>
        <row r="2514">
          <cell r="N2514">
            <v>0</v>
          </cell>
        </row>
        <row r="2515">
          <cell r="N2515">
            <v>0</v>
          </cell>
        </row>
        <row r="2516">
          <cell r="N2516">
            <v>0</v>
          </cell>
        </row>
        <row r="2517">
          <cell r="N2517">
            <v>0</v>
          </cell>
        </row>
        <row r="2518">
          <cell r="N2518">
            <v>0</v>
          </cell>
        </row>
        <row r="2519">
          <cell r="N2519">
            <v>0</v>
          </cell>
        </row>
        <row r="2520">
          <cell r="N2520">
            <v>0</v>
          </cell>
        </row>
        <row r="2521">
          <cell r="N2521">
            <v>0</v>
          </cell>
        </row>
        <row r="2522">
          <cell r="N2522">
            <v>1957953.21</v>
          </cell>
        </row>
        <row r="2523">
          <cell r="N2523">
            <v>1801575.93</v>
          </cell>
        </row>
        <row r="2524">
          <cell r="N2524">
            <v>862656.91999999993</v>
          </cell>
        </row>
        <row r="2525">
          <cell r="N2525">
            <v>0</v>
          </cell>
        </row>
        <row r="2526">
          <cell r="N2526">
            <v>199999.9</v>
          </cell>
        </row>
        <row r="2527">
          <cell r="N2527">
            <v>0</v>
          </cell>
        </row>
        <row r="2528">
          <cell r="N2528">
            <v>160048.68</v>
          </cell>
        </row>
        <row r="2529">
          <cell r="N2529">
            <v>0</v>
          </cell>
        </row>
        <row r="2530">
          <cell r="N2530">
            <v>25777.75</v>
          </cell>
        </row>
        <row r="2531">
          <cell r="N2531">
            <v>0</v>
          </cell>
        </row>
        <row r="2532">
          <cell r="N2532">
            <v>0</v>
          </cell>
        </row>
        <row r="2533">
          <cell r="N2533">
            <v>7788.24</v>
          </cell>
        </row>
        <row r="2534">
          <cell r="N2534">
            <v>13923.08</v>
          </cell>
        </row>
        <row r="2535">
          <cell r="N2535">
            <v>7999.96</v>
          </cell>
        </row>
        <row r="2536">
          <cell r="N2536">
            <v>447119.31</v>
          </cell>
        </row>
        <row r="2537">
          <cell r="N2537">
            <v>938919.01</v>
          </cell>
        </row>
        <row r="2538">
          <cell r="N2538">
            <v>149888.4</v>
          </cell>
        </row>
        <row r="2539">
          <cell r="N2539">
            <v>0</v>
          </cell>
        </row>
        <row r="2540">
          <cell r="N2540">
            <v>18832.14</v>
          </cell>
        </row>
        <row r="2541">
          <cell r="N2541">
            <v>0</v>
          </cell>
        </row>
        <row r="2542">
          <cell r="N2542">
            <v>37102.769999999997</v>
          </cell>
        </row>
        <row r="2543">
          <cell r="N2543">
            <v>0</v>
          </cell>
        </row>
        <row r="2544">
          <cell r="N2544">
            <v>0</v>
          </cell>
        </row>
        <row r="2545">
          <cell r="N2545">
            <v>86851.520000000004</v>
          </cell>
        </row>
        <row r="2546">
          <cell r="N2546">
            <v>326071.19</v>
          </cell>
        </row>
        <row r="2547">
          <cell r="N2547">
            <v>159512.99</v>
          </cell>
        </row>
        <row r="2548">
          <cell r="N2548">
            <v>0</v>
          </cell>
        </row>
        <row r="2549">
          <cell r="N2549">
            <v>160660</v>
          </cell>
        </row>
        <row r="2550">
          <cell r="N2550">
            <v>0</v>
          </cell>
        </row>
        <row r="2551">
          <cell r="N2551">
            <v>0</v>
          </cell>
        </row>
        <row r="2552">
          <cell r="N2552">
            <v>0</v>
          </cell>
        </row>
        <row r="2553">
          <cell r="N2553">
            <v>0</v>
          </cell>
        </row>
        <row r="2554">
          <cell r="N2554">
            <v>61489.279999999999</v>
          </cell>
        </row>
        <row r="2555">
          <cell r="N2555">
            <v>61489.279999999999</v>
          </cell>
        </row>
        <row r="2556">
          <cell r="N2556">
            <v>61489.279999999999</v>
          </cell>
        </row>
        <row r="2557">
          <cell r="N2557">
            <v>0</v>
          </cell>
        </row>
        <row r="2558">
          <cell r="N2558">
            <v>0</v>
          </cell>
        </row>
        <row r="2559">
          <cell r="N2559">
            <v>0</v>
          </cell>
        </row>
        <row r="2560">
          <cell r="N2560">
            <v>0</v>
          </cell>
        </row>
        <row r="2561">
          <cell r="N2561">
            <v>0</v>
          </cell>
        </row>
        <row r="2562">
          <cell r="N2562">
            <v>0</v>
          </cell>
        </row>
        <row r="2563">
          <cell r="N2563">
            <v>0</v>
          </cell>
        </row>
        <row r="2564">
          <cell r="N2564">
            <v>0</v>
          </cell>
        </row>
        <row r="2565">
          <cell r="N2565">
            <v>0</v>
          </cell>
        </row>
        <row r="2566">
          <cell r="N2566">
            <v>0</v>
          </cell>
        </row>
        <row r="2567">
          <cell r="N2567">
            <v>0</v>
          </cell>
        </row>
        <row r="2568">
          <cell r="N2568">
            <v>0</v>
          </cell>
        </row>
        <row r="2569">
          <cell r="N2569">
            <v>0</v>
          </cell>
        </row>
        <row r="2570">
          <cell r="N2570">
            <v>0</v>
          </cell>
        </row>
        <row r="2571">
          <cell r="N2571">
            <v>0</v>
          </cell>
        </row>
        <row r="2572">
          <cell r="N2572">
            <v>0</v>
          </cell>
        </row>
        <row r="2573">
          <cell r="N2573">
            <v>0</v>
          </cell>
        </row>
        <row r="2574">
          <cell r="N2574">
            <v>0</v>
          </cell>
        </row>
        <row r="2575">
          <cell r="N2575">
            <v>0</v>
          </cell>
        </row>
        <row r="2576">
          <cell r="N2576">
            <v>0</v>
          </cell>
        </row>
        <row r="2577">
          <cell r="N2577">
            <v>0</v>
          </cell>
        </row>
        <row r="2578">
          <cell r="N2578">
            <v>94888</v>
          </cell>
        </row>
        <row r="2579">
          <cell r="N2579">
            <v>94888</v>
          </cell>
        </row>
        <row r="2580">
          <cell r="N2580">
            <v>94888</v>
          </cell>
        </row>
        <row r="2581">
          <cell r="N2581">
            <v>0</v>
          </cell>
        </row>
        <row r="2582">
          <cell r="N2582">
            <v>0</v>
          </cell>
        </row>
        <row r="2583">
          <cell r="N2583">
            <v>0</v>
          </cell>
        </row>
        <row r="2584">
          <cell r="N2584">
            <v>0</v>
          </cell>
        </row>
        <row r="2585">
          <cell r="N2585">
            <v>0</v>
          </cell>
        </row>
        <row r="2586">
          <cell r="N2586">
            <v>0</v>
          </cell>
        </row>
        <row r="2587">
          <cell r="N2587">
            <v>0</v>
          </cell>
        </row>
        <row r="2588">
          <cell r="N2588">
            <v>0</v>
          </cell>
        </row>
        <row r="2589">
          <cell r="N2589">
            <v>0</v>
          </cell>
        </row>
        <row r="2590">
          <cell r="N2590">
            <v>0</v>
          </cell>
        </row>
        <row r="2591">
          <cell r="N2591">
            <v>0</v>
          </cell>
        </row>
        <row r="2592">
          <cell r="N2592">
            <v>0</v>
          </cell>
        </row>
        <row r="2593">
          <cell r="N2593">
            <v>3332096.64</v>
          </cell>
        </row>
        <row r="2594">
          <cell r="N2594">
            <v>2350602</v>
          </cell>
        </row>
        <row r="2595">
          <cell r="N2595">
            <v>0</v>
          </cell>
        </row>
        <row r="2596">
          <cell r="N2596">
            <v>0</v>
          </cell>
        </row>
        <row r="2597">
          <cell r="N2597">
            <v>0</v>
          </cell>
        </row>
        <row r="2598">
          <cell r="N2598">
            <v>2350602</v>
          </cell>
        </row>
        <row r="2599">
          <cell r="N2599">
            <v>2350602</v>
          </cell>
        </row>
        <row r="2600">
          <cell r="N2600">
            <v>2350602</v>
          </cell>
        </row>
        <row r="2601">
          <cell r="N2601">
            <v>0</v>
          </cell>
        </row>
        <row r="2602">
          <cell r="N2602">
            <v>0</v>
          </cell>
        </row>
        <row r="2603">
          <cell r="N2603">
            <v>188395.29</v>
          </cell>
        </row>
        <row r="2604">
          <cell r="N2604">
            <v>11985.470000000001</v>
          </cell>
        </row>
        <row r="2605">
          <cell r="N2605">
            <v>2986.19</v>
          </cell>
        </row>
        <row r="2606">
          <cell r="N2606">
            <v>2986.19</v>
          </cell>
        </row>
        <row r="2607">
          <cell r="N2607">
            <v>0</v>
          </cell>
        </row>
        <row r="2608">
          <cell r="N2608">
            <v>0</v>
          </cell>
        </row>
        <row r="2609">
          <cell r="N2609">
            <v>8999.2800000000007</v>
          </cell>
        </row>
        <row r="2610">
          <cell r="N2610">
            <v>8999.2800000000007</v>
          </cell>
        </row>
        <row r="2611">
          <cell r="N2611">
            <v>0</v>
          </cell>
        </row>
        <row r="2612">
          <cell r="N2612">
            <v>0</v>
          </cell>
        </row>
        <row r="2613">
          <cell r="N2613">
            <v>4408</v>
          </cell>
        </row>
        <row r="2614">
          <cell r="N2614">
            <v>4408</v>
          </cell>
        </row>
        <row r="2615">
          <cell r="N2615">
            <v>4408</v>
          </cell>
        </row>
        <row r="2616">
          <cell r="N2616">
            <v>0</v>
          </cell>
        </row>
        <row r="2617">
          <cell r="N2617">
            <v>0</v>
          </cell>
        </row>
        <row r="2618">
          <cell r="N2618">
            <v>12006</v>
          </cell>
        </row>
        <row r="2619">
          <cell r="N2619">
            <v>0</v>
          </cell>
        </row>
        <row r="2620">
          <cell r="N2620">
            <v>0</v>
          </cell>
        </row>
        <row r="2621">
          <cell r="N2621">
            <v>0</v>
          </cell>
        </row>
        <row r="2622">
          <cell r="N2622">
            <v>0</v>
          </cell>
        </row>
        <row r="2623">
          <cell r="N2623">
            <v>12006</v>
          </cell>
        </row>
        <row r="2624">
          <cell r="N2624">
            <v>12006</v>
          </cell>
        </row>
        <row r="2625">
          <cell r="N2625">
            <v>129995.82</v>
          </cell>
        </row>
        <row r="2626">
          <cell r="N2626">
            <v>129995.82</v>
          </cell>
        </row>
        <row r="2627">
          <cell r="N2627">
            <v>129995.82</v>
          </cell>
        </row>
        <row r="2628">
          <cell r="N2628">
            <v>0</v>
          </cell>
        </row>
        <row r="2629">
          <cell r="N2629">
            <v>0</v>
          </cell>
        </row>
        <row r="2630">
          <cell r="N2630">
            <v>0</v>
          </cell>
        </row>
        <row r="2631">
          <cell r="N2631">
            <v>0</v>
          </cell>
        </row>
        <row r="2632">
          <cell r="N2632">
            <v>0</v>
          </cell>
        </row>
        <row r="2633">
          <cell r="N2633">
            <v>0</v>
          </cell>
        </row>
        <row r="2634">
          <cell r="N2634">
            <v>0</v>
          </cell>
        </row>
        <row r="2635">
          <cell r="N2635">
            <v>0</v>
          </cell>
        </row>
        <row r="2636">
          <cell r="N2636">
            <v>0</v>
          </cell>
        </row>
        <row r="2637">
          <cell r="N2637">
            <v>0</v>
          </cell>
        </row>
        <row r="2638">
          <cell r="N2638">
            <v>0</v>
          </cell>
        </row>
        <row r="2639">
          <cell r="N2639">
            <v>30000</v>
          </cell>
        </row>
        <row r="2640">
          <cell r="N2640">
            <v>30000</v>
          </cell>
        </row>
        <row r="2641">
          <cell r="N2641">
            <v>30000</v>
          </cell>
        </row>
        <row r="2642">
          <cell r="N2642">
            <v>0</v>
          </cell>
        </row>
        <row r="2643">
          <cell r="N2643">
            <v>0</v>
          </cell>
        </row>
        <row r="2644">
          <cell r="N2644">
            <v>0</v>
          </cell>
        </row>
        <row r="2645">
          <cell r="N2645">
            <v>0</v>
          </cell>
        </row>
        <row r="2646">
          <cell r="N2646">
            <v>99992</v>
          </cell>
        </row>
        <row r="2647">
          <cell r="N2647">
            <v>0</v>
          </cell>
        </row>
        <row r="2648">
          <cell r="N2648">
            <v>0</v>
          </cell>
        </row>
        <row r="2649">
          <cell r="N2649">
            <v>0</v>
          </cell>
        </row>
        <row r="2650">
          <cell r="N2650">
            <v>0</v>
          </cell>
        </row>
        <row r="2651">
          <cell r="N2651">
            <v>0</v>
          </cell>
        </row>
        <row r="2652">
          <cell r="N2652">
            <v>0</v>
          </cell>
        </row>
        <row r="2653">
          <cell r="N2653">
            <v>0</v>
          </cell>
        </row>
        <row r="2654">
          <cell r="N2654">
            <v>0</v>
          </cell>
        </row>
        <row r="2655">
          <cell r="N2655">
            <v>0</v>
          </cell>
        </row>
        <row r="2656">
          <cell r="N2656">
            <v>0</v>
          </cell>
        </row>
        <row r="2657">
          <cell r="N2657">
            <v>0</v>
          </cell>
        </row>
        <row r="2658">
          <cell r="N2658">
            <v>0</v>
          </cell>
        </row>
        <row r="2659">
          <cell r="N2659">
            <v>0</v>
          </cell>
        </row>
        <row r="2660">
          <cell r="N2660">
            <v>0</v>
          </cell>
        </row>
        <row r="2661">
          <cell r="N2661">
            <v>0</v>
          </cell>
        </row>
        <row r="2662">
          <cell r="N2662">
            <v>0</v>
          </cell>
        </row>
        <row r="2663">
          <cell r="N2663">
            <v>0</v>
          </cell>
        </row>
        <row r="2664">
          <cell r="N2664">
            <v>0</v>
          </cell>
        </row>
        <row r="2665">
          <cell r="N2665">
            <v>0</v>
          </cell>
        </row>
        <row r="2666">
          <cell r="N2666">
            <v>0</v>
          </cell>
        </row>
        <row r="2667">
          <cell r="N2667">
            <v>0</v>
          </cell>
        </row>
        <row r="2668">
          <cell r="N2668">
            <v>0</v>
          </cell>
        </row>
        <row r="2669">
          <cell r="N2669">
            <v>0</v>
          </cell>
        </row>
        <row r="2670">
          <cell r="N2670">
            <v>0</v>
          </cell>
        </row>
        <row r="2671">
          <cell r="N2671">
            <v>0</v>
          </cell>
        </row>
        <row r="2672">
          <cell r="N2672">
            <v>0</v>
          </cell>
        </row>
        <row r="2673">
          <cell r="N2673">
            <v>0</v>
          </cell>
        </row>
        <row r="2674">
          <cell r="N2674">
            <v>0</v>
          </cell>
        </row>
        <row r="2675">
          <cell r="N2675">
            <v>0</v>
          </cell>
        </row>
        <row r="2676">
          <cell r="N2676">
            <v>0</v>
          </cell>
        </row>
        <row r="2677">
          <cell r="N2677">
            <v>0</v>
          </cell>
        </row>
        <row r="2678">
          <cell r="N2678">
            <v>0</v>
          </cell>
        </row>
        <row r="2679">
          <cell r="N2679">
            <v>0</v>
          </cell>
        </row>
        <row r="2680">
          <cell r="N2680">
            <v>0</v>
          </cell>
        </row>
        <row r="2681">
          <cell r="N2681">
            <v>99992</v>
          </cell>
        </row>
        <row r="2682">
          <cell r="N2682">
            <v>99992</v>
          </cell>
        </row>
        <row r="2683">
          <cell r="N2683">
            <v>99992</v>
          </cell>
        </row>
        <row r="2684">
          <cell r="N2684">
            <v>0</v>
          </cell>
        </row>
        <row r="2685">
          <cell r="N2685">
            <v>0</v>
          </cell>
        </row>
        <row r="2686">
          <cell r="N2686">
            <v>0</v>
          </cell>
        </row>
        <row r="2687">
          <cell r="N2687">
            <v>0</v>
          </cell>
        </row>
        <row r="2688">
          <cell r="N2688">
            <v>0</v>
          </cell>
        </row>
        <row r="2689">
          <cell r="N2689">
            <v>0</v>
          </cell>
        </row>
        <row r="2690">
          <cell r="N2690">
            <v>0</v>
          </cell>
        </row>
        <row r="2691">
          <cell r="N2691">
            <v>693107.35</v>
          </cell>
        </row>
        <row r="2692">
          <cell r="N2692">
            <v>299020.32</v>
          </cell>
        </row>
        <row r="2693">
          <cell r="N2693">
            <v>0</v>
          </cell>
        </row>
        <row r="2694">
          <cell r="N2694">
            <v>0</v>
          </cell>
        </row>
        <row r="2695">
          <cell r="N2695">
            <v>0</v>
          </cell>
        </row>
        <row r="2696">
          <cell r="N2696">
            <v>0</v>
          </cell>
        </row>
        <row r="2697">
          <cell r="N2697">
            <v>0</v>
          </cell>
        </row>
        <row r="2698">
          <cell r="N2698">
            <v>0</v>
          </cell>
        </row>
        <row r="2699">
          <cell r="N2699">
            <v>0</v>
          </cell>
        </row>
        <row r="2700">
          <cell r="N2700">
            <v>0</v>
          </cell>
        </row>
        <row r="2701">
          <cell r="N2701">
            <v>0</v>
          </cell>
        </row>
        <row r="2702">
          <cell r="N2702">
            <v>0</v>
          </cell>
        </row>
        <row r="2703">
          <cell r="N2703">
            <v>0</v>
          </cell>
        </row>
        <row r="2704">
          <cell r="N2704">
            <v>0</v>
          </cell>
        </row>
        <row r="2705">
          <cell r="N2705">
            <v>0</v>
          </cell>
        </row>
        <row r="2706">
          <cell r="N2706">
            <v>0</v>
          </cell>
        </row>
        <row r="2707">
          <cell r="N2707">
            <v>0</v>
          </cell>
        </row>
        <row r="2708">
          <cell r="N2708">
            <v>0</v>
          </cell>
        </row>
        <row r="2709">
          <cell r="N2709">
            <v>0</v>
          </cell>
        </row>
        <row r="2710">
          <cell r="N2710">
            <v>0</v>
          </cell>
        </row>
        <row r="2711">
          <cell r="N2711">
            <v>0</v>
          </cell>
        </row>
        <row r="2712">
          <cell r="N2712">
            <v>0</v>
          </cell>
        </row>
        <row r="2713">
          <cell r="N2713">
            <v>0</v>
          </cell>
        </row>
        <row r="2714">
          <cell r="N2714">
            <v>0</v>
          </cell>
        </row>
        <row r="2715">
          <cell r="N2715">
            <v>0</v>
          </cell>
        </row>
        <row r="2716">
          <cell r="N2716">
            <v>0</v>
          </cell>
        </row>
        <row r="2717">
          <cell r="N2717">
            <v>0</v>
          </cell>
        </row>
        <row r="2718">
          <cell r="N2718">
            <v>0</v>
          </cell>
        </row>
        <row r="2719">
          <cell r="N2719">
            <v>299020.32</v>
          </cell>
        </row>
        <row r="2720">
          <cell r="N2720">
            <v>0</v>
          </cell>
        </row>
        <row r="2721">
          <cell r="N2721">
            <v>0</v>
          </cell>
        </row>
        <row r="2722">
          <cell r="N2722">
            <v>0</v>
          </cell>
        </row>
        <row r="2723">
          <cell r="N2723">
            <v>0</v>
          </cell>
        </row>
        <row r="2724">
          <cell r="N2724">
            <v>0</v>
          </cell>
        </row>
        <row r="2725">
          <cell r="N2725">
            <v>0</v>
          </cell>
        </row>
        <row r="2726">
          <cell r="N2726">
            <v>0</v>
          </cell>
        </row>
        <row r="2727">
          <cell r="N2727">
            <v>8000</v>
          </cell>
        </row>
        <row r="2728">
          <cell r="N2728">
            <v>0</v>
          </cell>
        </row>
        <row r="2729">
          <cell r="N2729">
            <v>0</v>
          </cell>
        </row>
        <row r="2730">
          <cell r="N2730">
            <v>192620.32</v>
          </cell>
        </row>
        <row r="2731">
          <cell r="N2731">
            <v>0</v>
          </cell>
        </row>
        <row r="2732">
          <cell r="N2732">
            <v>0</v>
          </cell>
        </row>
        <row r="2733">
          <cell r="N2733">
            <v>0</v>
          </cell>
        </row>
        <row r="2734">
          <cell r="N2734">
            <v>0</v>
          </cell>
        </row>
        <row r="2735">
          <cell r="N2735">
            <v>50000</v>
          </cell>
        </row>
        <row r="2736">
          <cell r="N2736">
            <v>44000</v>
          </cell>
        </row>
        <row r="2737">
          <cell r="N2737">
            <v>0</v>
          </cell>
        </row>
        <row r="2738">
          <cell r="N2738">
            <v>0</v>
          </cell>
        </row>
        <row r="2739">
          <cell r="N2739">
            <v>0</v>
          </cell>
        </row>
        <row r="2740">
          <cell r="N2740">
            <v>0</v>
          </cell>
        </row>
        <row r="2741">
          <cell r="N2741">
            <v>0</v>
          </cell>
        </row>
        <row r="2742">
          <cell r="N2742">
            <v>4400</v>
          </cell>
        </row>
        <row r="2743">
          <cell r="N2743">
            <v>0</v>
          </cell>
        </row>
        <row r="2744">
          <cell r="N2744">
            <v>0</v>
          </cell>
        </row>
        <row r="2745">
          <cell r="N2745">
            <v>0</v>
          </cell>
        </row>
        <row r="2746">
          <cell r="N2746">
            <v>0</v>
          </cell>
        </row>
        <row r="2747">
          <cell r="N2747">
            <v>0</v>
          </cell>
        </row>
        <row r="2748">
          <cell r="N2748">
            <v>0</v>
          </cell>
        </row>
        <row r="2749">
          <cell r="N2749">
            <v>0</v>
          </cell>
        </row>
        <row r="2750">
          <cell r="N2750">
            <v>0</v>
          </cell>
        </row>
        <row r="2751">
          <cell r="N2751">
            <v>0</v>
          </cell>
        </row>
        <row r="2752">
          <cell r="N2752">
            <v>0</v>
          </cell>
        </row>
        <row r="2753">
          <cell r="N2753">
            <v>0</v>
          </cell>
        </row>
        <row r="2754">
          <cell r="N2754">
            <v>0</v>
          </cell>
        </row>
        <row r="2755">
          <cell r="N2755">
            <v>0</v>
          </cell>
        </row>
        <row r="2756">
          <cell r="N2756">
            <v>0</v>
          </cell>
        </row>
        <row r="2757">
          <cell r="N2757">
            <v>0</v>
          </cell>
        </row>
        <row r="2758">
          <cell r="N2758">
            <v>0</v>
          </cell>
        </row>
        <row r="2759">
          <cell r="N2759">
            <v>0</v>
          </cell>
        </row>
        <row r="2760">
          <cell r="N2760">
            <v>0</v>
          </cell>
        </row>
        <row r="2761">
          <cell r="N2761">
            <v>0</v>
          </cell>
        </row>
        <row r="2762">
          <cell r="N2762">
            <v>0</v>
          </cell>
        </row>
        <row r="2763">
          <cell r="N2763">
            <v>0</v>
          </cell>
        </row>
        <row r="2764">
          <cell r="N2764">
            <v>0</v>
          </cell>
        </row>
        <row r="2765">
          <cell r="N2765">
            <v>0</v>
          </cell>
        </row>
        <row r="2766">
          <cell r="N2766">
            <v>0</v>
          </cell>
        </row>
        <row r="2767">
          <cell r="N2767">
            <v>0</v>
          </cell>
        </row>
        <row r="2768">
          <cell r="N2768">
            <v>0</v>
          </cell>
        </row>
        <row r="2769">
          <cell r="N2769">
            <v>0</v>
          </cell>
        </row>
        <row r="2770">
          <cell r="N2770">
            <v>0</v>
          </cell>
        </row>
        <row r="2771">
          <cell r="N2771">
            <v>0</v>
          </cell>
        </row>
        <row r="2772">
          <cell r="N2772">
            <v>0</v>
          </cell>
        </row>
        <row r="2773">
          <cell r="N2773">
            <v>0</v>
          </cell>
        </row>
        <row r="2774">
          <cell r="N2774">
            <v>394087.02999999997</v>
          </cell>
        </row>
        <row r="2775">
          <cell r="N2775">
            <v>0</v>
          </cell>
        </row>
        <row r="2776">
          <cell r="N2776">
            <v>0</v>
          </cell>
        </row>
        <row r="2777">
          <cell r="N2777">
            <v>394087.02999999997</v>
          </cell>
        </row>
        <row r="2778">
          <cell r="N2778">
            <v>19102.88</v>
          </cell>
        </row>
        <row r="2779">
          <cell r="N2779">
            <v>0</v>
          </cell>
        </row>
        <row r="2780">
          <cell r="N2780">
            <v>0</v>
          </cell>
        </row>
        <row r="2781">
          <cell r="N2781">
            <v>371984.16</v>
          </cell>
        </row>
        <row r="2782">
          <cell r="N2782">
            <v>0</v>
          </cell>
        </row>
        <row r="2783">
          <cell r="N2783">
            <v>2999.99</v>
          </cell>
        </row>
        <row r="2784">
          <cell r="N2784">
            <v>0</v>
          </cell>
        </row>
        <row r="2785">
          <cell r="N2785">
            <v>0</v>
          </cell>
        </row>
        <row r="2786">
          <cell r="N2786">
            <v>0</v>
          </cell>
        </row>
        <row r="2787">
          <cell r="N2787">
            <v>0</v>
          </cell>
        </row>
        <row r="2788">
          <cell r="N2788">
            <v>0</v>
          </cell>
        </row>
        <row r="2789">
          <cell r="N2789">
            <v>0</v>
          </cell>
        </row>
        <row r="2790">
          <cell r="N2790">
            <v>0</v>
          </cell>
        </row>
        <row r="2791">
          <cell r="N2791">
            <v>0</v>
          </cell>
        </row>
        <row r="2792">
          <cell r="N2792">
            <v>0</v>
          </cell>
        </row>
        <row r="2793">
          <cell r="N2793">
            <v>0</v>
          </cell>
        </row>
        <row r="2794">
          <cell r="N2794">
            <v>0</v>
          </cell>
        </row>
        <row r="2795">
          <cell r="N2795">
            <v>0</v>
          </cell>
        </row>
        <row r="2796">
          <cell r="N2796">
            <v>0</v>
          </cell>
        </row>
        <row r="2797">
          <cell r="N2797">
            <v>0</v>
          </cell>
        </row>
        <row r="2798">
          <cell r="N2798">
            <v>0</v>
          </cell>
        </row>
        <row r="2799">
          <cell r="N2799">
            <v>0</v>
          </cell>
        </row>
        <row r="2800">
          <cell r="N2800">
            <v>0</v>
          </cell>
        </row>
        <row r="2801">
          <cell r="N2801">
            <v>0</v>
          </cell>
        </row>
        <row r="2802">
          <cell r="N2802">
            <v>0</v>
          </cell>
        </row>
        <row r="2803">
          <cell r="N2803">
            <v>0</v>
          </cell>
        </row>
        <row r="2804">
          <cell r="N2804">
            <v>0</v>
          </cell>
        </row>
        <row r="2805">
          <cell r="N2805">
            <v>0</v>
          </cell>
        </row>
        <row r="2806">
          <cell r="N2806">
            <v>0</v>
          </cell>
        </row>
        <row r="2807">
          <cell r="N2807">
            <v>0</v>
          </cell>
        </row>
        <row r="2808">
          <cell r="N2808">
            <v>0</v>
          </cell>
        </row>
        <row r="2809">
          <cell r="N2809">
            <v>0</v>
          </cell>
        </row>
        <row r="2810">
          <cell r="N2810">
            <v>0</v>
          </cell>
        </row>
        <row r="2811">
          <cell r="N2811">
            <v>0</v>
          </cell>
        </row>
        <row r="2812">
          <cell r="N2812">
            <v>0</v>
          </cell>
        </row>
        <row r="2813">
          <cell r="N2813">
            <v>0</v>
          </cell>
        </row>
        <row r="2814">
          <cell r="N2814">
            <v>0</v>
          </cell>
        </row>
        <row r="2815">
          <cell r="N2815">
            <v>0</v>
          </cell>
        </row>
        <row r="2816">
          <cell r="N2816">
            <v>0</v>
          </cell>
        </row>
        <row r="2817">
          <cell r="N2817">
            <v>0</v>
          </cell>
        </row>
        <row r="2818">
          <cell r="N2818">
            <v>0</v>
          </cell>
        </row>
        <row r="2819">
          <cell r="N2819">
            <v>0</v>
          </cell>
        </row>
        <row r="2820">
          <cell r="N2820">
            <v>0</v>
          </cell>
        </row>
        <row r="2821">
          <cell r="N2821">
            <v>0</v>
          </cell>
        </row>
        <row r="2822">
          <cell r="N2822">
            <v>0</v>
          </cell>
        </row>
        <row r="2823">
          <cell r="N2823">
            <v>0</v>
          </cell>
        </row>
        <row r="2824">
          <cell r="N2824">
            <v>0</v>
          </cell>
        </row>
        <row r="2825">
          <cell r="N2825">
            <v>0</v>
          </cell>
        </row>
        <row r="2826">
          <cell r="N2826">
            <v>0</v>
          </cell>
        </row>
        <row r="2827">
          <cell r="N2827">
            <v>0</v>
          </cell>
        </row>
        <row r="2828">
          <cell r="N2828">
            <v>0</v>
          </cell>
        </row>
        <row r="2829">
          <cell r="N2829">
            <v>0</v>
          </cell>
        </row>
        <row r="2830">
          <cell r="N2830">
            <v>0</v>
          </cell>
        </row>
        <row r="2831">
          <cell r="N2831">
            <v>0</v>
          </cell>
        </row>
        <row r="2832">
          <cell r="N2832">
            <v>0</v>
          </cell>
        </row>
        <row r="2833">
          <cell r="N2833">
            <v>0</v>
          </cell>
        </row>
        <row r="2834">
          <cell r="N2834">
            <v>0</v>
          </cell>
        </row>
        <row r="2835">
          <cell r="N2835">
            <v>0</v>
          </cell>
        </row>
        <row r="2836">
          <cell r="N2836">
            <v>0</v>
          </cell>
        </row>
        <row r="2837">
          <cell r="N2837">
            <v>0</v>
          </cell>
        </row>
        <row r="2838">
          <cell r="N2838">
            <v>0</v>
          </cell>
        </row>
        <row r="2839">
          <cell r="N2839">
            <v>0</v>
          </cell>
        </row>
        <row r="2840">
          <cell r="N2840">
            <v>0</v>
          </cell>
        </row>
        <row r="2841">
          <cell r="N2841">
            <v>0</v>
          </cell>
        </row>
        <row r="2842">
          <cell r="N2842">
            <v>0</v>
          </cell>
        </row>
        <row r="2843">
          <cell r="N2843">
            <v>0</v>
          </cell>
        </row>
        <row r="2844">
          <cell r="N2844">
            <v>0</v>
          </cell>
        </row>
        <row r="2845">
          <cell r="N2845">
            <v>0</v>
          </cell>
        </row>
        <row r="2846">
          <cell r="N2846">
            <v>0</v>
          </cell>
        </row>
        <row r="2847">
          <cell r="N2847">
            <v>0</v>
          </cell>
        </row>
        <row r="2848">
          <cell r="N2848">
            <v>0</v>
          </cell>
        </row>
        <row r="2849">
          <cell r="N2849">
            <v>0</v>
          </cell>
        </row>
        <row r="2850">
          <cell r="N2850">
            <v>0</v>
          </cell>
        </row>
        <row r="2851">
          <cell r="N2851">
            <v>0</v>
          </cell>
        </row>
        <row r="2852">
          <cell r="N2852">
            <v>0</v>
          </cell>
        </row>
        <row r="2853">
          <cell r="N2853">
            <v>0</v>
          </cell>
        </row>
        <row r="2854">
          <cell r="N2854">
            <v>0</v>
          </cell>
        </row>
        <row r="2855">
          <cell r="N2855">
            <v>0</v>
          </cell>
        </row>
        <row r="2856">
          <cell r="N2856">
            <v>0</v>
          </cell>
        </row>
        <row r="2857">
          <cell r="N2857">
            <v>0</v>
          </cell>
        </row>
        <row r="2858">
          <cell r="N2858">
            <v>0</v>
          </cell>
        </row>
        <row r="2859">
          <cell r="N2859">
            <v>0</v>
          </cell>
        </row>
        <row r="2860">
          <cell r="N2860">
            <v>0</v>
          </cell>
        </row>
        <row r="2861">
          <cell r="N2861">
            <v>0</v>
          </cell>
        </row>
        <row r="2862">
          <cell r="N2862">
            <v>0</v>
          </cell>
        </row>
        <row r="2863">
          <cell r="N2863">
            <v>0</v>
          </cell>
        </row>
        <row r="2864">
          <cell r="N2864">
            <v>0</v>
          </cell>
        </row>
        <row r="2865">
          <cell r="N2865">
            <v>0</v>
          </cell>
        </row>
        <row r="2866">
          <cell r="N2866">
            <v>0</v>
          </cell>
        </row>
        <row r="2867">
          <cell r="N2867">
            <v>0</v>
          </cell>
        </row>
        <row r="2868">
          <cell r="N2868">
            <v>0</v>
          </cell>
        </row>
        <row r="2869">
          <cell r="N2869">
            <v>0</v>
          </cell>
        </row>
        <row r="2870">
          <cell r="N2870">
            <v>0</v>
          </cell>
        </row>
        <row r="2871">
          <cell r="N2871">
            <v>0</v>
          </cell>
        </row>
        <row r="2872">
          <cell r="N2872">
            <v>0</v>
          </cell>
        </row>
        <row r="2873">
          <cell r="N2873">
            <v>0</v>
          </cell>
        </row>
        <row r="2874">
          <cell r="N2874">
            <v>0</v>
          </cell>
        </row>
        <row r="2875">
          <cell r="N2875">
            <v>0</v>
          </cell>
        </row>
        <row r="2876">
          <cell r="N2876">
            <v>0</v>
          </cell>
        </row>
        <row r="2877">
          <cell r="N2877">
            <v>0</v>
          </cell>
        </row>
        <row r="2878">
          <cell r="N2878">
            <v>0</v>
          </cell>
        </row>
        <row r="2879">
          <cell r="N2879">
            <v>0</v>
          </cell>
        </row>
        <row r="2880">
          <cell r="N2880">
            <v>0</v>
          </cell>
        </row>
        <row r="2881">
          <cell r="N2881">
            <v>0</v>
          </cell>
        </row>
        <row r="2882">
          <cell r="N2882">
            <v>0</v>
          </cell>
        </row>
        <row r="2883">
          <cell r="N2883">
            <v>0</v>
          </cell>
        </row>
        <row r="2884">
          <cell r="N2884">
            <v>0</v>
          </cell>
        </row>
        <row r="2885">
          <cell r="N2885">
            <v>0</v>
          </cell>
        </row>
        <row r="2886">
          <cell r="N2886">
            <v>0</v>
          </cell>
        </row>
        <row r="2887">
          <cell r="N2887">
            <v>0</v>
          </cell>
        </row>
        <row r="2888">
          <cell r="N2888">
            <v>0</v>
          </cell>
        </row>
        <row r="2889">
          <cell r="N2889">
            <v>0</v>
          </cell>
        </row>
        <row r="2890">
          <cell r="N2890">
            <v>0</v>
          </cell>
        </row>
        <row r="2891">
          <cell r="N2891">
            <v>0</v>
          </cell>
        </row>
        <row r="2892">
          <cell r="N2892">
            <v>0</v>
          </cell>
        </row>
        <row r="2893">
          <cell r="N2893">
            <v>0</v>
          </cell>
        </row>
        <row r="2894">
          <cell r="N2894">
            <v>0</v>
          </cell>
        </row>
        <row r="2895">
          <cell r="N2895">
            <v>6976000</v>
          </cell>
        </row>
        <row r="2896">
          <cell r="N2896">
            <v>4547900</v>
          </cell>
        </row>
        <row r="2897">
          <cell r="N2897">
            <v>4547900</v>
          </cell>
        </row>
        <row r="2898">
          <cell r="N2898">
            <v>4547900</v>
          </cell>
        </row>
        <row r="2899">
          <cell r="N2899">
            <v>4547900</v>
          </cell>
        </row>
        <row r="2900">
          <cell r="N2900">
            <v>0</v>
          </cell>
        </row>
        <row r="2901">
          <cell r="N2901">
            <v>0</v>
          </cell>
        </row>
        <row r="2902">
          <cell r="N2902">
            <v>887330.05</v>
          </cell>
        </row>
        <row r="2903">
          <cell r="N2903">
            <v>466831.79</v>
          </cell>
        </row>
        <row r="2904">
          <cell r="N2904">
            <v>160000</v>
          </cell>
        </row>
        <row r="2905">
          <cell r="N2905">
            <v>160000</v>
          </cell>
        </row>
        <row r="2906">
          <cell r="N2906">
            <v>0</v>
          </cell>
        </row>
        <row r="2907">
          <cell r="N2907">
            <v>0</v>
          </cell>
        </row>
        <row r="2908">
          <cell r="N2908">
            <v>306831.78999999998</v>
          </cell>
        </row>
        <row r="2909">
          <cell r="N2909">
            <v>306831.78999999998</v>
          </cell>
        </row>
        <row r="2910">
          <cell r="N2910">
            <v>420498.26</v>
          </cell>
        </row>
        <row r="2911">
          <cell r="N2911">
            <v>420498.26</v>
          </cell>
        </row>
        <row r="2912">
          <cell r="N2912">
            <v>420498.26</v>
          </cell>
        </row>
        <row r="2913">
          <cell r="N2913">
            <v>0</v>
          </cell>
        </row>
        <row r="2914">
          <cell r="N2914">
            <v>0</v>
          </cell>
        </row>
        <row r="2915">
          <cell r="N2915">
            <v>0</v>
          </cell>
        </row>
        <row r="2916">
          <cell r="N2916">
            <v>1332600</v>
          </cell>
        </row>
        <row r="2917">
          <cell r="N2917">
            <v>0</v>
          </cell>
        </row>
        <row r="2918">
          <cell r="N2918">
            <v>0</v>
          </cell>
        </row>
        <row r="2919">
          <cell r="N2919">
            <v>0</v>
          </cell>
        </row>
        <row r="2920">
          <cell r="N2920">
            <v>0</v>
          </cell>
        </row>
        <row r="2921">
          <cell r="N2921">
            <v>0</v>
          </cell>
        </row>
        <row r="2922">
          <cell r="N2922">
            <v>52000</v>
          </cell>
        </row>
        <row r="2923">
          <cell r="N2923">
            <v>52000</v>
          </cell>
        </row>
        <row r="2924">
          <cell r="N2924">
            <v>52000</v>
          </cell>
        </row>
        <row r="2925">
          <cell r="N2925">
            <v>1024000</v>
          </cell>
        </row>
        <row r="2926">
          <cell r="N2926">
            <v>1024000</v>
          </cell>
        </row>
        <row r="2927">
          <cell r="N2927">
            <v>330000</v>
          </cell>
        </row>
        <row r="2928">
          <cell r="N2928">
            <v>694000</v>
          </cell>
        </row>
        <row r="2929">
          <cell r="N2929">
            <v>45600</v>
          </cell>
        </row>
        <row r="2930">
          <cell r="N2930">
            <v>45600</v>
          </cell>
        </row>
        <row r="2931">
          <cell r="N2931">
            <v>45600</v>
          </cell>
        </row>
        <row r="2932">
          <cell r="N2932">
            <v>211000</v>
          </cell>
        </row>
        <row r="2933">
          <cell r="N2933">
            <v>143000</v>
          </cell>
        </row>
        <row r="2934">
          <cell r="N2934">
            <v>143000</v>
          </cell>
        </row>
        <row r="2935">
          <cell r="N2935">
            <v>0</v>
          </cell>
        </row>
        <row r="2936">
          <cell r="N2936">
            <v>0</v>
          </cell>
        </row>
        <row r="2937">
          <cell r="N2937">
            <v>68000</v>
          </cell>
        </row>
        <row r="2938">
          <cell r="N2938">
            <v>68000</v>
          </cell>
        </row>
        <row r="2939">
          <cell r="N2939">
            <v>208169.94999999998</v>
          </cell>
        </row>
        <row r="2940">
          <cell r="N2940">
            <v>167322.56999999998</v>
          </cell>
        </row>
        <row r="2941">
          <cell r="N2941">
            <v>22933.66</v>
          </cell>
        </row>
        <row r="2942">
          <cell r="N2942">
            <v>0</v>
          </cell>
        </row>
        <row r="2943">
          <cell r="N2943">
            <v>0</v>
          </cell>
        </row>
        <row r="2944">
          <cell r="N2944">
            <v>0</v>
          </cell>
        </row>
        <row r="2945">
          <cell r="N2945">
            <v>0</v>
          </cell>
        </row>
        <row r="2946">
          <cell r="N2946">
            <v>0</v>
          </cell>
        </row>
        <row r="2947">
          <cell r="N2947">
            <v>22933.66</v>
          </cell>
        </row>
        <row r="2948">
          <cell r="N2948">
            <v>144388.90999999997</v>
          </cell>
        </row>
        <row r="2949">
          <cell r="N2949">
            <v>62111.5</v>
          </cell>
        </row>
        <row r="2950">
          <cell r="N2950">
            <v>18373.009999999998</v>
          </cell>
        </row>
        <row r="2951">
          <cell r="N2951">
            <v>0</v>
          </cell>
        </row>
        <row r="2952">
          <cell r="N2952">
            <v>22034.2</v>
          </cell>
        </row>
        <row r="2953">
          <cell r="N2953">
            <v>11971.2</v>
          </cell>
        </row>
        <row r="2954">
          <cell r="N2954">
            <v>29899</v>
          </cell>
        </row>
        <row r="2955">
          <cell r="N2955">
            <v>0</v>
          </cell>
        </row>
        <row r="2956">
          <cell r="N2956">
            <v>0</v>
          </cell>
        </row>
        <row r="2957">
          <cell r="N2957">
            <v>14952.4</v>
          </cell>
        </row>
        <row r="2958">
          <cell r="N2958">
            <v>14952.4</v>
          </cell>
        </row>
        <row r="2959">
          <cell r="N2959">
            <v>14952.4</v>
          </cell>
        </row>
        <row r="2960">
          <cell r="N2960">
            <v>0</v>
          </cell>
        </row>
        <row r="2961">
          <cell r="N2961">
            <v>0</v>
          </cell>
        </row>
        <row r="2962">
          <cell r="N2962">
            <v>0</v>
          </cell>
        </row>
        <row r="2963">
          <cell r="N2963">
            <v>25894.98</v>
          </cell>
        </row>
        <row r="2964">
          <cell r="N2964">
            <v>25894.98</v>
          </cell>
        </row>
        <row r="2965">
          <cell r="N2965">
            <v>25894.98</v>
          </cell>
        </row>
        <row r="2966">
          <cell r="N2966">
            <v>1002275</v>
          </cell>
        </row>
        <row r="2967">
          <cell r="N2967">
            <v>652275</v>
          </cell>
        </row>
        <row r="2968">
          <cell r="N2968">
            <v>0</v>
          </cell>
        </row>
        <row r="2969">
          <cell r="N2969">
            <v>0</v>
          </cell>
        </row>
        <row r="2970">
          <cell r="N2970">
            <v>0</v>
          </cell>
        </row>
        <row r="2971">
          <cell r="N2971">
            <v>0</v>
          </cell>
        </row>
        <row r="2972">
          <cell r="N2972">
            <v>0</v>
          </cell>
        </row>
        <row r="2973">
          <cell r="N2973">
            <v>0</v>
          </cell>
        </row>
        <row r="2974">
          <cell r="N2974">
            <v>0</v>
          </cell>
        </row>
        <row r="2975">
          <cell r="N2975">
            <v>0</v>
          </cell>
        </row>
        <row r="2976">
          <cell r="N2976">
            <v>0</v>
          </cell>
        </row>
        <row r="2977">
          <cell r="N2977">
            <v>588765</v>
          </cell>
        </row>
        <row r="2978">
          <cell r="N2978">
            <v>0</v>
          </cell>
        </row>
        <row r="2979">
          <cell r="N2979">
            <v>0</v>
          </cell>
        </row>
        <row r="2980">
          <cell r="N2980">
            <v>0</v>
          </cell>
        </row>
        <row r="2981">
          <cell r="N2981">
            <v>0</v>
          </cell>
        </row>
        <row r="2982">
          <cell r="N2982">
            <v>286176</v>
          </cell>
        </row>
        <row r="2983">
          <cell r="N2983">
            <v>286176</v>
          </cell>
        </row>
        <row r="2984">
          <cell r="N2984">
            <v>0</v>
          </cell>
        </row>
        <row r="2985">
          <cell r="N2985">
            <v>0</v>
          </cell>
        </row>
        <row r="2986">
          <cell r="N2986">
            <v>0</v>
          </cell>
        </row>
        <row r="2987">
          <cell r="N2987">
            <v>0</v>
          </cell>
        </row>
        <row r="2988">
          <cell r="N2988">
            <v>0</v>
          </cell>
        </row>
        <row r="2989">
          <cell r="N2989">
            <v>0</v>
          </cell>
        </row>
        <row r="2990">
          <cell r="N2990">
            <v>302589</v>
          </cell>
        </row>
        <row r="2991">
          <cell r="N2991">
            <v>302589</v>
          </cell>
        </row>
        <row r="2992">
          <cell r="N2992">
            <v>0</v>
          </cell>
        </row>
        <row r="2993">
          <cell r="N2993">
            <v>0</v>
          </cell>
        </row>
        <row r="2994">
          <cell r="N2994">
            <v>0</v>
          </cell>
        </row>
        <row r="2995">
          <cell r="N2995">
            <v>0</v>
          </cell>
        </row>
        <row r="2996">
          <cell r="N2996">
            <v>0</v>
          </cell>
        </row>
        <row r="2997">
          <cell r="N2997">
            <v>0</v>
          </cell>
        </row>
        <row r="2998">
          <cell r="N2998">
            <v>0</v>
          </cell>
        </row>
        <row r="2999">
          <cell r="N2999">
            <v>0</v>
          </cell>
        </row>
        <row r="3000">
          <cell r="N3000">
            <v>0</v>
          </cell>
        </row>
        <row r="3001">
          <cell r="N3001">
            <v>0</v>
          </cell>
        </row>
        <row r="3002">
          <cell r="N3002">
            <v>63510</v>
          </cell>
        </row>
        <row r="3003">
          <cell r="N3003">
            <v>63510</v>
          </cell>
        </row>
        <row r="3004">
          <cell r="N3004">
            <v>14210</v>
          </cell>
        </row>
        <row r="3005">
          <cell r="N3005">
            <v>0</v>
          </cell>
        </row>
        <row r="3006">
          <cell r="N3006">
            <v>0</v>
          </cell>
        </row>
        <row r="3007">
          <cell r="N3007">
            <v>0</v>
          </cell>
        </row>
        <row r="3008">
          <cell r="N3008">
            <v>49300</v>
          </cell>
        </row>
        <row r="3009">
          <cell r="N3009">
            <v>0</v>
          </cell>
        </row>
        <row r="3010">
          <cell r="N3010">
            <v>0</v>
          </cell>
        </row>
        <row r="3011">
          <cell r="N3011">
            <v>0</v>
          </cell>
        </row>
        <row r="3012">
          <cell r="N3012">
            <v>0</v>
          </cell>
        </row>
        <row r="3013">
          <cell r="N3013">
            <v>0</v>
          </cell>
        </row>
        <row r="3014">
          <cell r="N3014">
            <v>0</v>
          </cell>
        </row>
        <row r="3015">
          <cell r="N3015">
            <v>0</v>
          </cell>
        </row>
        <row r="3016">
          <cell r="N3016">
            <v>0</v>
          </cell>
        </row>
        <row r="3017">
          <cell r="N3017">
            <v>0</v>
          </cell>
        </row>
        <row r="3018">
          <cell r="N3018">
            <v>0</v>
          </cell>
        </row>
        <row r="3019">
          <cell r="N3019">
            <v>0</v>
          </cell>
        </row>
        <row r="3020">
          <cell r="N3020">
            <v>0</v>
          </cell>
        </row>
        <row r="3021">
          <cell r="N3021">
            <v>0</v>
          </cell>
        </row>
        <row r="3022">
          <cell r="N3022">
            <v>0</v>
          </cell>
        </row>
        <row r="3023">
          <cell r="N3023">
            <v>0</v>
          </cell>
        </row>
        <row r="3024">
          <cell r="N3024">
            <v>0</v>
          </cell>
        </row>
        <row r="3025">
          <cell r="N3025">
            <v>0</v>
          </cell>
        </row>
        <row r="3026">
          <cell r="N3026">
            <v>0</v>
          </cell>
        </row>
        <row r="3027">
          <cell r="N3027">
            <v>350000</v>
          </cell>
        </row>
        <row r="3028">
          <cell r="N3028">
            <v>0</v>
          </cell>
        </row>
        <row r="3029">
          <cell r="N3029">
            <v>0</v>
          </cell>
        </row>
        <row r="3030">
          <cell r="N3030">
            <v>0</v>
          </cell>
        </row>
        <row r="3031">
          <cell r="N3031">
            <v>0</v>
          </cell>
        </row>
        <row r="3032">
          <cell r="N3032">
            <v>0</v>
          </cell>
        </row>
        <row r="3033">
          <cell r="N3033">
            <v>0</v>
          </cell>
        </row>
        <row r="3034">
          <cell r="N3034">
            <v>0</v>
          </cell>
        </row>
        <row r="3035">
          <cell r="N3035">
            <v>0</v>
          </cell>
        </row>
        <row r="3036">
          <cell r="N3036">
            <v>0</v>
          </cell>
        </row>
        <row r="3037">
          <cell r="N3037">
            <v>0</v>
          </cell>
        </row>
        <row r="3038">
          <cell r="N3038">
            <v>0</v>
          </cell>
        </row>
        <row r="3039">
          <cell r="N3039">
            <v>0</v>
          </cell>
        </row>
        <row r="3040">
          <cell r="N3040">
            <v>0</v>
          </cell>
        </row>
        <row r="3041">
          <cell r="N3041">
            <v>0</v>
          </cell>
        </row>
        <row r="3042">
          <cell r="N3042">
            <v>0</v>
          </cell>
        </row>
        <row r="3043">
          <cell r="N3043">
            <v>0</v>
          </cell>
        </row>
        <row r="3044">
          <cell r="N3044">
            <v>0</v>
          </cell>
        </row>
        <row r="3045">
          <cell r="N3045">
            <v>0</v>
          </cell>
        </row>
        <row r="3046">
          <cell r="N3046">
            <v>0</v>
          </cell>
        </row>
        <row r="3047">
          <cell r="N3047">
            <v>0</v>
          </cell>
        </row>
        <row r="3048">
          <cell r="N3048">
            <v>0</v>
          </cell>
        </row>
        <row r="3049">
          <cell r="N3049">
            <v>0</v>
          </cell>
        </row>
        <row r="3050">
          <cell r="N3050">
            <v>0</v>
          </cell>
        </row>
        <row r="3051">
          <cell r="N3051">
            <v>0</v>
          </cell>
        </row>
        <row r="3052">
          <cell r="N3052">
            <v>0</v>
          </cell>
        </row>
        <row r="3053">
          <cell r="N3053">
            <v>0</v>
          </cell>
        </row>
        <row r="3054">
          <cell r="N3054">
            <v>0</v>
          </cell>
        </row>
        <row r="3055">
          <cell r="N3055">
            <v>0</v>
          </cell>
        </row>
        <row r="3056">
          <cell r="N3056">
            <v>0</v>
          </cell>
        </row>
        <row r="3057">
          <cell r="N3057">
            <v>0</v>
          </cell>
        </row>
        <row r="3058">
          <cell r="N3058">
            <v>0</v>
          </cell>
        </row>
        <row r="3059">
          <cell r="N3059">
            <v>0</v>
          </cell>
        </row>
        <row r="3060">
          <cell r="N3060">
            <v>0</v>
          </cell>
        </row>
        <row r="3061">
          <cell r="N3061">
            <v>0</v>
          </cell>
        </row>
        <row r="3062">
          <cell r="N3062">
            <v>0</v>
          </cell>
        </row>
        <row r="3063">
          <cell r="N3063">
            <v>0</v>
          </cell>
        </row>
        <row r="3064">
          <cell r="N3064">
            <v>0</v>
          </cell>
        </row>
        <row r="3065">
          <cell r="N3065">
            <v>0</v>
          </cell>
        </row>
        <row r="3066">
          <cell r="N3066">
            <v>0</v>
          </cell>
        </row>
        <row r="3067">
          <cell r="N3067">
            <v>0</v>
          </cell>
        </row>
        <row r="3068">
          <cell r="N3068">
            <v>0</v>
          </cell>
        </row>
        <row r="3069">
          <cell r="N3069">
            <v>0</v>
          </cell>
        </row>
        <row r="3070">
          <cell r="N3070">
            <v>0</v>
          </cell>
        </row>
        <row r="3071">
          <cell r="N3071">
            <v>0</v>
          </cell>
        </row>
        <row r="3072">
          <cell r="N3072">
            <v>0</v>
          </cell>
        </row>
        <row r="3073">
          <cell r="N3073">
            <v>0</v>
          </cell>
        </row>
        <row r="3074">
          <cell r="N3074">
            <v>0</v>
          </cell>
        </row>
        <row r="3075">
          <cell r="N3075">
            <v>0</v>
          </cell>
        </row>
        <row r="3076">
          <cell r="N3076">
            <v>0</v>
          </cell>
        </row>
        <row r="3077">
          <cell r="N3077">
            <v>0</v>
          </cell>
        </row>
        <row r="3078">
          <cell r="N3078">
            <v>0</v>
          </cell>
        </row>
        <row r="3079">
          <cell r="N3079">
            <v>0</v>
          </cell>
        </row>
        <row r="3080">
          <cell r="N3080">
            <v>0</v>
          </cell>
        </row>
        <row r="3081">
          <cell r="N3081">
            <v>0</v>
          </cell>
        </row>
        <row r="3082">
          <cell r="N3082">
            <v>0</v>
          </cell>
        </row>
        <row r="3083">
          <cell r="N3083">
            <v>0</v>
          </cell>
        </row>
        <row r="3084">
          <cell r="N3084">
            <v>0</v>
          </cell>
        </row>
        <row r="3085">
          <cell r="N3085">
            <v>0</v>
          </cell>
        </row>
        <row r="3086">
          <cell r="N3086">
            <v>0</v>
          </cell>
        </row>
        <row r="3087">
          <cell r="N3087">
            <v>0</v>
          </cell>
        </row>
        <row r="3088">
          <cell r="N3088">
            <v>350000</v>
          </cell>
        </row>
        <row r="3089">
          <cell r="N3089">
            <v>350000</v>
          </cell>
        </row>
        <row r="3090">
          <cell r="N3090">
            <v>350000</v>
          </cell>
        </row>
        <row r="3091">
          <cell r="N3091">
            <v>0</v>
          </cell>
        </row>
        <row r="3092">
          <cell r="N3092">
            <v>0</v>
          </cell>
        </row>
        <row r="3093">
          <cell r="N3093">
            <v>0</v>
          </cell>
        </row>
        <row r="3094">
          <cell r="N3094">
            <v>0</v>
          </cell>
        </row>
        <row r="3095">
          <cell r="N3095">
            <v>0</v>
          </cell>
        </row>
        <row r="3096">
          <cell r="N3096">
            <v>0</v>
          </cell>
        </row>
        <row r="3097">
          <cell r="N3097">
            <v>0</v>
          </cell>
        </row>
        <row r="3098">
          <cell r="N3098">
            <v>0</v>
          </cell>
        </row>
        <row r="3099">
          <cell r="N3099">
            <v>0</v>
          </cell>
        </row>
        <row r="3100">
          <cell r="N3100">
            <v>0</v>
          </cell>
        </row>
        <row r="3101">
          <cell r="N3101">
            <v>0</v>
          </cell>
        </row>
        <row r="3102">
          <cell r="N3102">
            <v>0</v>
          </cell>
        </row>
        <row r="3103">
          <cell r="N3103">
            <v>0</v>
          </cell>
        </row>
        <row r="3104">
          <cell r="N3104">
            <v>0</v>
          </cell>
        </row>
        <row r="3105">
          <cell r="N3105">
            <v>0</v>
          </cell>
        </row>
        <row r="3106">
          <cell r="N3106">
            <v>38545673.059999995</v>
          </cell>
        </row>
        <row r="3107">
          <cell r="N3107">
            <v>18108521.640000001</v>
          </cell>
        </row>
        <row r="3108">
          <cell r="N3108">
            <v>4913.76</v>
          </cell>
        </row>
        <row r="3109">
          <cell r="N3109">
            <v>4913.76</v>
          </cell>
        </row>
        <row r="3110">
          <cell r="N3110">
            <v>4913.76</v>
          </cell>
        </row>
        <row r="3111">
          <cell r="N3111">
            <v>0</v>
          </cell>
        </row>
        <row r="3112">
          <cell r="N3112">
            <v>0</v>
          </cell>
        </row>
        <row r="3113">
          <cell r="N3113">
            <v>0</v>
          </cell>
        </row>
        <row r="3114">
          <cell r="N3114">
            <v>0</v>
          </cell>
        </row>
        <row r="3115">
          <cell r="N3115">
            <v>0</v>
          </cell>
        </row>
        <row r="3116">
          <cell r="N3116">
            <v>0</v>
          </cell>
        </row>
        <row r="3117">
          <cell r="N3117">
            <v>0</v>
          </cell>
        </row>
        <row r="3118">
          <cell r="N3118">
            <v>0</v>
          </cell>
        </row>
        <row r="3119">
          <cell r="N3119">
            <v>0</v>
          </cell>
        </row>
        <row r="3120">
          <cell r="N3120">
            <v>0</v>
          </cell>
        </row>
        <row r="3121">
          <cell r="N3121">
            <v>240321.62</v>
          </cell>
        </row>
        <row r="3122">
          <cell r="N3122">
            <v>0</v>
          </cell>
        </row>
        <row r="3123">
          <cell r="N3123">
            <v>0</v>
          </cell>
        </row>
        <row r="3124">
          <cell r="N3124">
            <v>0</v>
          </cell>
        </row>
        <row r="3125">
          <cell r="N3125">
            <v>0</v>
          </cell>
        </row>
        <row r="3126">
          <cell r="N3126">
            <v>240321.62</v>
          </cell>
        </row>
        <row r="3127">
          <cell r="N3127">
            <v>240321.62</v>
          </cell>
        </row>
        <row r="3128">
          <cell r="N3128">
            <v>0</v>
          </cell>
        </row>
        <row r="3129">
          <cell r="N3129">
            <v>0</v>
          </cell>
        </row>
        <row r="3130">
          <cell r="N3130">
            <v>0</v>
          </cell>
        </row>
        <row r="3131">
          <cell r="N3131">
            <v>0</v>
          </cell>
        </row>
        <row r="3132">
          <cell r="N3132">
            <v>0</v>
          </cell>
        </row>
        <row r="3133">
          <cell r="N3133">
            <v>10423833.82</v>
          </cell>
        </row>
        <row r="3134">
          <cell r="N3134">
            <v>10023833.82</v>
          </cell>
        </row>
        <row r="3135">
          <cell r="N3135">
            <v>7470611.0199999996</v>
          </cell>
        </row>
        <row r="3136">
          <cell r="N3136">
            <v>1341600</v>
          </cell>
        </row>
        <row r="3137">
          <cell r="N3137">
            <v>1341600</v>
          </cell>
        </row>
        <row r="3138">
          <cell r="N3138">
            <v>24960</v>
          </cell>
        </row>
        <row r="3139">
          <cell r="N3139">
            <v>7080</v>
          </cell>
        </row>
        <row r="3140">
          <cell r="N3140">
            <v>116800</v>
          </cell>
        </row>
        <row r="3141">
          <cell r="N3141">
            <v>116800</v>
          </cell>
        </row>
        <row r="3142">
          <cell r="N3142">
            <v>104000</v>
          </cell>
        </row>
        <row r="3143">
          <cell r="N3143">
            <v>205030</v>
          </cell>
        </row>
        <row r="3144">
          <cell r="N3144">
            <v>261600</v>
          </cell>
        </row>
        <row r="3145">
          <cell r="N3145">
            <v>235771.02</v>
          </cell>
        </row>
        <row r="3146">
          <cell r="N3146">
            <v>230200</v>
          </cell>
        </row>
        <row r="3147">
          <cell r="N3147">
            <v>166400</v>
          </cell>
        </row>
        <row r="3148">
          <cell r="N3148">
            <v>3044000</v>
          </cell>
        </row>
        <row r="3149">
          <cell r="N3149">
            <v>49770</v>
          </cell>
        </row>
        <row r="3150">
          <cell r="N3150">
            <v>225000</v>
          </cell>
        </row>
        <row r="3151">
          <cell r="N3151">
            <v>1950420</v>
          </cell>
        </row>
        <row r="3152">
          <cell r="N3152">
            <v>460800</v>
          </cell>
        </row>
        <row r="3153">
          <cell r="N3153">
            <v>422400</v>
          </cell>
        </row>
        <row r="3154">
          <cell r="N3154">
            <v>46020</v>
          </cell>
        </row>
        <row r="3155">
          <cell r="N3155">
            <v>91200</v>
          </cell>
        </row>
        <row r="3156">
          <cell r="N3156">
            <v>56400</v>
          </cell>
        </row>
        <row r="3157">
          <cell r="N3157">
            <v>873600</v>
          </cell>
        </row>
        <row r="3158">
          <cell r="N3158">
            <v>602802.80000000005</v>
          </cell>
        </row>
        <row r="3159">
          <cell r="N3159">
            <v>120399</v>
          </cell>
        </row>
        <row r="3160">
          <cell r="N3160">
            <v>289800</v>
          </cell>
        </row>
        <row r="3161">
          <cell r="N3161">
            <v>192603.8</v>
          </cell>
        </row>
        <row r="3162">
          <cell r="N3162">
            <v>400000</v>
          </cell>
        </row>
        <row r="3163">
          <cell r="N3163">
            <v>400000</v>
          </cell>
        </row>
        <row r="3164">
          <cell r="N3164">
            <v>400000</v>
          </cell>
        </row>
        <row r="3165">
          <cell r="N3165">
            <v>7439452.4399999995</v>
          </cell>
        </row>
        <row r="3166">
          <cell r="N3166">
            <v>0</v>
          </cell>
        </row>
        <row r="3167">
          <cell r="N3167">
            <v>0</v>
          </cell>
        </row>
        <row r="3168">
          <cell r="N3168">
            <v>0</v>
          </cell>
        </row>
        <row r="3169">
          <cell r="N3169">
            <v>0</v>
          </cell>
        </row>
        <row r="3170">
          <cell r="N3170">
            <v>7439452.4399999995</v>
          </cell>
        </row>
        <row r="3171">
          <cell r="N3171">
            <v>1705026</v>
          </cell>
        </row>
        <row r="3172">
          <cell r="N3172">
            <v>1705026</v>
          </cell>
        </row>
        <row r="3173">
          <cell r="N3173">
            <v>0</v>
          </cell>
        </row>
        <row r="3174">
          <cell r="N3174">
            <v>5734426.4399999995</v>
          </cell>
        </row>
        <row r="3175">
          <cell r="N3175">
            <v>3835000</v>
          </cell>
        </row>
        <row r="3176">
          <cell r="N3176">
            <v>19140</v>
          </cell>
        </row>
        <row r="3177">
          <cell r="N3177">
            <v>73786.44</v>
          </cell>
        </row>
        <row r="3178">
          <cell r="N3178">
            <v>22500</v>
          </cell>
        </row>
        <row r="3179">
          <cell r="N3179">
            <v>93125</v>
          </cell>
        </row>
        <row r="3180">
          <cell r="N3180">
            <v>329875</v>
          </cell>
        </row>
        <row r="3181">
          <cell r="N3181">
            <v>661000</v>
          </cell>
        </row>
        <row r="3182">
          <cell r="N3182">
            <v>700000</v>
          </cell>
        </row>
        <row r="3184">
          <cell r="N3184">
            <v>0</v>
          </cell>
        </row>
        <row r="3185">
          <cell r="N3185">
            <v>0</v>
          </cell>
        </row>
        <row r="3186">
          <cell r="N3186">
            <v>0</v>
          </cell>
        </row>
        <row r="3187">
          <cell r="N3187">
            <v>0</v>
          </cell>
        </row>
        <row r="3188">
          <cell r="N3188">
            <v>0</v>
          </cell>
        </row>
        <row r="3189">
          <cell r="N3189">
            <v>0</v>
          </cell>
        </row>
        <row r="3190">
          <cell r="N3190">
            <v>0</v>
          </cell>
        </row>
        <row r="3191">
          <cell r="N3191">
            <v>0</v>
          </cell>
        </row>
        <row r="3192">
          <cell r="N3192">
            <v>0</v>
          </cell>
        </row>
        <row r="3193">
          <cell r="N3193">
            <v>0</v>
          </cell>
        </row>
        <row r="3194">
          <cell r="N3194">
            <v>0</v>
          </cell>
        </row>
        <row r="3195">
          <cell r="N3195">
            <v>0</v>
          </cell>
        </row>
        <row r="3196">
          <cell r="N3196">
            <v>0</v>
          </cell>
        </row>
        <row r="3197">
          <cell r="N3197">
            <v>0</v>
          </cell>
        </row>
        <row r="3198">
          <cell r="N3198">
            <v>0</v>
          </cell>
        </row>
        <row r="3199">
          <cell r="N3199">
            <v>0</v>
          </cell>
        </row>
        <row r="3200">
          <cell r="N3200">
            <v>0</v>
          </cell>
        </row>
        <row r="3201">
          <cell r="N3201">
            <v>0</v>
          </cell>
        </row>
        <row r="3202">
          <cell r="N3202">
            <v>0</v>
          </cell>
        </row>
        <row r="3203">
          <cell r="N3203">
            <v>11879813.460000001</v>
          </cell>
        </row>
        <row r="3204">
          <cell r="N3204">
            <v>11879813.460000001</v>
          </cell>
        </row>
        <row r="3205">
          <cell r="N3205">
            <v>0</v>
          </cell>
        </row>
        <row r="3206">
          <cell r="N3206">
            <v>0</v>
          </cell>
        </row>
        <row r="3207">
          <cell r="N3207">
            <v>0</v>
          </cell>
        </row>
        <row r="3208">
          <cell r="N3208">
            <v>0</v>
          </cell>
        </row>
        <row r="3209">
          <cell r="N3209">
            <v>0</v>
          </cell>
        </row>
        <row r="3210">
          <cell r="N3210">
            <v>0</v>
          </cell>
        </row>
        <row r="3211">
          <cell r="N3211">
            <v>0</v>
          </cell>
        </row>
        <row r="3212">
          <cell r="N3212">
            <v>0</v>
          </cell>
        </row>
        <row r="3213">
          <cell r="N3213">
            <v>0</v>
          </cell>
        </row>
        <row r="3214">
          <cell r="N3214">
            <v>0</v>
          </cell>
        </row>
        <row r="3215">
          <cell r="N3215">
            <v>0</v>
          </cell>
        </row>
        <row r="3216">
          <cell r="N3216">
            <v>0</v>
          </cell>
        </row>
        <row r="3217">
          <cell r="N3217">
            <v>0</v>
          </cell>
        </row>
        <row r="3218">
          <cell r="N3218">
            <v>0</v>
          </cell>
        </row>
        <row r="3219">
          <cell r="N3219">
            <v>0</v>
          </cell>
        </row>
        <row r="3220">
          <cell r="N3220">
            <v>0</v>
          </cell>
        </row>
        <row r="3221">
          <cell r="N3221">
            <v>0</v>
          </cell>
        </row>
        <row r="3222">
          <cell r="N3222">
            <v>0</v>
          </cell>
        </row>
        <row r="3223">
          <cell r="N3223">
            <v>0</v>
          </cell>
        </row>
        <row r="3224">
          <cell r="N3224">
            <v>0</v>
          </cell>
        </row>
        <row r="3225">
          <cell r="N3225">
            <v>0</v>
          </cell>
        </row>
        <row r="3226">
          <cell r="N3226">
            <v>0</v>
          </cell>
        </row>
        <row r="3227">
          <cell r="N3227">
            <v>0</v>
          </cell>
        </row>
        <row r="3228">
          <cell r="N3228">
            <v>0</v>
          </cell>
        </row>
        <row r="3229">
          <cell r="N3229">
            <v>0</v>
          </cell>
        </row>
        <row r="3230">
          <cell r="N3230">
            <v>0</v>
          </cell>
        </row>
        <row r="3231">
          <cell r="N3231">
            <v>0</v>
          </cell>
        </row>
        <row r="3232">
          <cell r="N3232">
            <v>0</v>
          </cell>
        </row>
        <row r="3233">
          <cell r="N3233">
            <v>0</v>
          </cell>
        </row>
        <row r="3234">
          <cell r="N3234">
            <v>0</v>
          </cell>
        </row>
        <row r="3235">
          <cell r="N3235">
            <v>0</v>
          </cell>
        </row>
        <row r="3236">
          <cell r="N3236">
            <v>0</v>
          </cell>
        </row>
        <row r="3237">
          <cell r="N3237">
            <v>0</v>
          </cell>
        </row>
        <row r="3238">
          <cell r="N3238">
            <v>0</v>
          </cell>
        </row>
        <row r="3239">
          <cell r="N3239">
            <v>0</v>
          </cell>
        </row>
        <row r="3240">
          <cell r="N3240">
            <v>0</v>
          </cell>
        </row>
        <row r="3241">
          <cell r="N3241">
            <v>0</v>
          </cell>
        </row>
        <row r="3242">
          <cell r="N3242">
            <v>0</v>
          </cell>
        </row>
        <row r="3243">
          <cell r="N3243">
            <v>0</v>
          </cell>
        </row>
        <row r="3244">
          <cell r="N3244">
            <v>0</v>
          </cell>
        </row>
        <row r="3245">
          <cell r="N3245">
            <v>0</v>
          </cell>
        </row>
        <row r="3246">
          <cell r="N3246">
            <v>0</v>
          </cell>
        </row>
        <row r="3247">
          <cell r="N3247">
            <v>0</v>
          </cell>
        </row>
        <row r="3248">
          <cell r="N3248">
            <v>0</v>
          </cell>
        </row>
        <row r="3249">
          <cell r="N3249">
            <v>0</v>
          </cell>
        </row>
        <row r="3250">
          <cell r="N3250">
            <v>0</v>
          </cell>
        </row>
        <row r="3251">
          <cell r="N3251">
            <v>0</v>
          </cell>
        </row>
        <row r="3252">
          <cell r="N3252">
            <v>0</v>
          </cell>
        </row>
        <row r="3253">
          <cell r="N3253">
            <v>0</v>
          </cell>
        </row>
        <row r="3254">
          <cell r="N3254">
            <v>0</v>
          </cell>
        </row>
        <row r="3255">
          <cell r="N3255">
            <v>0</v>
          </cell>
        </row>
        <row r="3256">
          <cell r="N3256">
            <v>0</v>
          </cell>
        </row>
        <row r="3257">
          <cell r="N3257">
            <v>0</v>
          </cell>
        </row>
        <row r="3258">
          <cell r="N3258">
            <v>0</v>
          </cell>
        </row>
        <row r="3259">
          <cell r="N3259">
            <v>0</v>
          </cell>
        </row>
        <row r="3260">
          <cell r="N3260">
            <v>0</v>
          </cell>
        </row>
        <row r="3261">
          <cell r="N3261">
            <v>0</v>
          </cell>
        </row>
        <row r="3262">
          <cell r="N3262">
            <v>0</v>
          </cell>
        </row>
        <row r="3263">
          <cell r="N3263">
            <v>0</v>
          </cell>
        </row>
        <row r="3264">
          <cell r="N3264">
            <v>0</v>
          </cell>
        </row>
        <row r="3265">
          <cell r="N3265">
            <v>0</v>
          </cell>
        </row>
        <row r="3266">
          <cell r="N3266">
            <v>0</v>
          </cell>
        </row>
        <row r="3267">
          <cell r="N3267">
            <v>0</v>
          </cell>
        </row>
        <row r="3268">
          <cell r="N3268">
            <v>0</v>
          </cell>
        </row>
        <row r="3269">
          <cell r="N3269">
            <v>0</v>
          </cell>
        </row>
        <row r="3270">
          <cell r="N3270">
            <v>0</v>
          </cell>
        </row>
        <row r="3271">
          <cell r="N3271">
            <v>0</v>
          </cell>
        </row>
        <row r="3272">
          <cell r="N3272">
            <v>43600.08</v>
          </cell>
        </row>
        <row r="3273">
          <cell r="N3273">
            <v>0</v>
          </cell>
        </row>
        <row r="3274">
          <cell r="N3274">
            <v>0</v>
          </cell>
        </row>
        <row r="3275">
          <cell r="N3275">
            <v>0</v>
          </cell>
        </row>
        <row r="3276">
          <cell r="N3276">
            <v>0</v>
          </cell>
        </row>
        <row r="3277">
          <cell r="N3277">
            <v>0</v>
          </cell>
        </row>
        <row r="3278">
          <cell r="N3278">
            <v>0</v>
          </cell>
        </row>
        <row r="3279">
          <cell r="N3279">
            <v>0</v>
          </cell>
        </row>
        <row r="3280">
          <cell r="N3280">
            <v>43600.08</v>
          </cell>
        </row>
        <row r="3281">
          <cell r="N3281">
            <v>43600.08</v>
          </cell>
        </row>
        <row r="3282">
          <cell r="N3282">
            <v>0</v>
          </cell>
        </row>
        <row r="3283">
          <cell r="N3283">
            <v>0</v>
          </cell>
        </row>
        <row r="3284">
          <cell r="N3284">
            <v>0</v>
          </cell>
        </row>
        <row r="3285">
          <cell r="N3285">
            <v>0</v>
          </cell>
        </row>
        <row r="3286">
          <cell r="N3286">
            <v>0</v>
          </cell>
        </row>
        <row r="3287">
          <cell r="N3287">
            <v>0</v>
          </cell>
        </row>
        <row r="3288">
          <cell r="N3288">
            <v>0</v>
          </cell>
        </row>
        <row r="3289">
          <cell r="N3289">
            <v>0</v>
          </cell>
        </row>
        <row r="3290">
          <cell r="N3290">
            <v>0</v>
          </cell>
        </row>
        <row r="3291">
          <cell r="N3291">
            <v>11652213.380000001</v>
          </cell>
        </row>
        <row r="3292">
          <cell r="N3292">
            <v>11652213.380000001</v>
          </cell>
        </row>
        <row r="3293">
          <cell r="N3293">
            <v>0</v>
          </cell>
        </row>
        <row r="3294">
          <cell r="N3294">
            <v>0</v>
          </cell>
        </row>
        <row r="3295">
          <cell r="N3295">
            <v>0</v>
          </cell>
        </row>
        <row r="3296">
          <cell r="N3296">
            <v>10392089.58</v>
          </cell>
        </row>
        <row r="3297">
          <cell r="N3297">
            <v>2076000</v>
          </cell>
        </row>
        <row r="3298">
          <cell r="N3298">
            <v>6772625.5800000001</v>
          </cell>
        </row>
        <row r="3299">
          <cell r="N3299">
            <v>1543464</v>
          </cell>
        </row>
        <row r="3300">
          <cell r="N3300">
            <v>1260123.8</v>
          </cell>
        </row>
        <row r="3301">
          <cell r="N3301">
            <v>1260123.8</v>
          </cell>
        </row>
        <row r="3302">
          <cell r="N3302">
            <v>0</v>
          </cell>
        </row>
        <row r="3303">
          <cell r="N3303">
            <v>0</v>
          </cell>
        </row>
        <row r="3304">
          <cell r="N3304">
            <v>0</v>
          </cell>
        </row>
        <row r="3305">
          <cell r="N3305">
            <v>0</v>
          </cell>
        </row>
        <row r="3306">
          <cell r="N3306">
            <v>0</v>
          </cell>
        </row>
        <row r="3307">
          <cell r="N3307">
            <v>0</v>
          </cell>
        </row>
        <row r="3308">
          <cell r="N3308">
            <v>0</v>
          </cell>
        </row>
        <row r="3309">
          <cell r="N3309">
            <v>0</v>
          </cell>
        </row>
        <row r="3310">
          <cell r="N3310">
            <v>0</v>
          </cell>
        </row>
        <row r="3311">
          <cell r="N3311">
            <v>0</v>
          </cell>
        </row>
        <row r="3312">
          <cell r="N3312">
            <v>0</v>
          </cell>
        </row>
        <row r="3313">
          <cell r="N3313">
            <v>0</v>
          </cell>
        </row>
        <row r="3314">
          <cell r="N3314">
            <v>0</v>
          </cell>
        </row>
        <row r="3315">
          <cell r="N3315">
            <v>0</v>
          </cell>
        </row>
        <row r="3316">
          <cell r="N3316">
            <v>0</v>
          </cell>
        </row>
        <row r="3317">
          <cell r="N3317">
            <v>0</v>
          </cell>
        </row>
        <row r="3318">
          <cell r="N3318">
            <v>0</v>
          </cell>
        </row>
        <row r="3319">
          <cell r="N3319">
            <v>0</v>
          </cell>
        </row>
        <row r="3320">
          <cell r="N3320">
            <v>0</v>
          </cell>
        </row>
        <row r="3321">
          <cell r="N3321">
            <v>0</v>
          </cell>
        </row>
        <row r="3322">
          <cell r="N3322">
            <v>0</v>
          </cell>
        </row>
        <row r="3323">
          <cell r="N3323">
            <v>0</v>
          </cell>
        </row>
        <row r="3324">
          <cell r="N3324">
            <v>0</v>
          </cell>
        </row>
        <row r="3325">
          <cell r="N3325">
            <v>0</v>
          </cell>
        </row>
        <row r="3326">
          <cell r="N3326">
            <v>0</v>
          </cell>
        </row>
        <row r="3327">
          <cell r="N3327">
            <v>0</v>
          </cell>
        </row>
        <row r="3328">
          <cell r="N3328">
            <v>0</v>
          </cell>
        </row>
        <row r="3329">
          <cell r="N3329">
            <v>0</v>
          </cell>
        </row>
        <row r="3330">
          <cell r="N3330">
            <v>0</v>
          </cell>
        </row>
        <row r="3331">
          <cell r="N3331">
            <v>0</v>
          </cell>
        </row>
        <row r="3332">
          <cell r="N3332">
            <v>0</v>
          </cell>
        </row>
        <row r="3333">
          <cell r="N3333">
            <v>0</v>
          </cell>
        </row>
        <row r="3334">
          <cell r="N3334">
            <v>184000</v>
          </cell>
        </row>
        <row r="3335">
          <cell r="N3335">
            <v>0</v>
          </cell>
        </row>
        <row r="3336">
          <cell r="N3336">
            <v>0</v>
          </cell>
        </row>
        <row r="3337">
          <cell r="N3337">
            <v>184000</v>
          </cell>
        </row>
        <row r="3338">
          <cell r="N3338">
            <v>184000</v>
          </cell>
        </row>
        <row r="3339">
          <cell r="N3339">
            <v>5559110.9800000004</v>
          </cell>
        </row>
        <row r="3340">
          <cell r="N3340">
            <v>5559110.9800000004</v>
          </cell>
        </row>
        <row r="3341">
          <cell r="N3341">
            <v>1789498.23</v>
          </cell>
        </row>
        <row r="3342">
          <cell r="N3342">
            <v>1396966.23</v>
          </cell>
        </row>
        <row r="3343">
          <cell r="N3343">
            <v>109181.51</v>
          </cell>
        </row>
        <row r="3344">
          <cell r="N3344">
            <v>181969.2</v>
          </cell>
        </row>
        <row r="3345">
          <cell r="N3345">
            <v>0</v>
          </cell>
        </row>
        <row r="3346">
          <cell r="N3346">
            <v>85945.34</v>
          </cell>
        </row>
        <row r="3347">
          <cell r="N3347">
            <v>0</v>
          </cell>
        </row>
        <row r="3348">
          <cell r="N3348">
            <v>0</v>
          </cell>
        </row>
        <row r="3349">
          <cell r="N3349">
            <v>0</v>
          </cell>
        </row>
        <row r="3350">
          <cell r="N3350">
            <v>0</v>
          </cell>
        </row>
        <row r="3351">
          <cell r="N3351">
            <v>392480.56</v>
          </cell>
        </row>
        <row r="3352">
          <cell r="N3352">
            <v>0</v>
          </cell>
        </row>
        <row r="3353">
          <cell r="N3353">
            <v>0</v>
          </cell>
        </row>
        <row r="3354">
          <cell r="N3354">
            <v>0</v>
          </cell>
        </row>
        <row r="3355">
          <cell r="N3355">
            <v>0</v>
          </cell>
        </row>
        <row r="3356">
          <cell r="N3356">
            <v>0</v>
          </cell>
        </row>
        <row r="3357">
          <cell r="N3357">
            <v>29529.08</v>
          </cell>
        </row>
        <row r="3358">
          <cell r="N3358">
            <v>101923.18</v>
          </cell>
        </row>
        <row r="3359">
          <cell r="N3359">
            <v>16549.36</v>
          </cell>
        </row>
        <row r="3360">
          <cell r="N3360">
            <v>0</v>
          </cell>
        </row>
        <row r="3361">
          <cell r="N3361">
            <v>0</v>
          </cell>
        </row>
        <row r="3362">
          <cell r="N3362">
            <v>0</v>
          </cell>
        </row>
        <row r="3363">
          <cell r="N3363">
            <v>0</v>
          </cell>
        </row>
        <row r="3364">
          <cell r="N3364">
            <v>0</v>
          </cell>
        </row>
        <row r="3365">
          <cell r="N3365">
            <v>0</v>
          </cell>
        </row>
        <row r="3366">
          <cell r="N3366">
            <v>479388</v>
          </cell>
        </row>
        <row r="3367">
          <cell r="N3367">
            <v>0</v>
          </cell>
        </row>
        <row r="3368">
          <cell r="N3368">
            <v>0</v>
          </cell>
        </row>
        <row r="3369">
          <cell r="N3369">
            <v>49532</v>
          </cell>
        </row>
        <row r="3370">
          <cell r="N3370">
            <v>0</v>
          </cell>
        </row>
        <row r="3371">
          <cell r="N3371">
            <v>0</v>
          </cell>
        </row>
        <row r="3372">
          <cell r="N3372">
            <v>0</v>
          </cell>
        </row>
        <row r="3373">
          <cell r="N3373">
            <v>0</v>
          </cell>
        </row>
        <row r="3374">
          <cell r="N3374">
            <v>0</v>
          </cell>
        </row>
        <row r="3375">
          <cell r="N3375">
            <v>49532</v>
          </cell>
        </row>
        <row r="3376">
          <cell r="N3376">
            <v>43000</v>
          </cell>
        </row>
        <row r="3377">
          <cell r="N3377">
            <v>0</v>
          </cell>
        </row>
        <row r="3378">
          <cell r="N3378">
            <v>28000</v>
          </cell>
        </row>
        <row r="3379">
          <cell r="N3379">
            <v>0</v>
          </cell>
        </row>
        <row r="3380">
          <cell r="N3380">
            <v>0</v>
          </cell>
        </row>
        <row r="3381">
          <cell r="N3381">
            <v>0</v>
          </cell>
        </row>
        <row r="3382">
          <cell r="N3382">
            <v>15000</v>
          </cell>
        </row>
        <row r="3383">
          <cell r="N3383">
            <v>0</v>
          </cell>
        </row>
        <row r="3384">
          <cell r="N3384">
            <v>0</v>
          </cell>
        </row>
        <row r="3385">
          <cell r="N3385">
            <v>0</v>
          </cell>
        </row>
        <row r="3386">
          <cell r="N3386">
            <v>0</v>
          </cell>
        </row>
        <row r="3387">
          <cell r="N3387">
            <v>0</v>
          </cell>
        </row>
        <row r="3388">
          <cell r="N3388">
            <v>0</v>
          </cell>
        </row>
        <row r="3389">
          <cell r="N3389">
            <v>0</v>
          </cell>
        </row>
        <row r="3390">
          <cell r="N3390">
            <v>0</v>
          </cell>
        </row>
        <row r="3391">
          <cell r="N3391">
            <v>0</v>
          </cell>
        </row>
        <row r="3392">
          <cell r="N3392">
            <v>0</v>
          </cell>
        </row>
        <row r="3393">
          <cell r="N3393">
            <v>0</v>
          </cell>
        </row>
        <row r="3394">
          <cell r="N3394">
            <v>300000</v>
          </cell>
        </row>
        <row r="3395">
          <cell r="N3395">
            <v>0</v>
          </cell>
        </row>
        <row r="3396">
          <cell r="N3396">
            <v>0</v>
          </cell>
        </row>
        <row r="3397">
          <cell r="N3397">
            <v>0</v>
          </cell>
        </row>
        <row r="3398">
          <cell r="N3398">
            <v>0</v>
          </cell>
        </row>
        <row r="3399">
          <cell r="N3399">
            <v>0</v>
          </cell>
        </row>
        <row r="3400">
          <cell r="N3400">
            <v>0</v>
          </cell>
        </row>
        <row r="3401">
          <cell r="N3401">
            <v>0</v>
          </cell>
        </row>
        <row r="3402">
          <cell r="N3402">
            <v>0</v>
          </cell>
        </row>
        <row r="3403">
          <cell r="N3403">
            <v>0</v>
          </cell>
        </row>
        <row r="3404">
          <cell r="N3404">
            <v>0</v>
          </cell>
        </row>
        <row r="3405">
          <cell r="N3405">
            <v>0</v>
          </cell>
        </row>
        <row r="3406">
          <cell r="N3406">
            <v>300000</v>
          </cell>
        </row>
        <row r="3407">
          <cell r="N3407">
            <v>0</v>
          </cell>
        </row>
        <row r="3408">
          <cell r="N3408">
            <v>0</v>
          </cell>
        </row>
        <row r="3409">
          <cell r="N3409">
            <v>150000</v>
          </cell>
        </row>
        <row r="3410">
          <cell r="N3410">
            <v>0</v>
          </cell>
        </row>
        <row r="3411">
          <cell r="N3411">
            <v>0</v>
          </cell>
        </row>
        <row r="3412">
          <cell r="N3412">
            <v>0</v>
          </cell>
        </row>
        <row r="3413">
          <cell r="N3413">
            <v>0</v>
          </cell>
        </row>
        <row r="3414">
          <cell r="N3414">
            <v>0</v>
          </cell>
        </row>
        <row r="3415">
          <cell r="N3415">
            <v>0</v>
          </cell>
        </row>
        <row r="3416">
          <cell r="N3416">
            <v>0</v>
          </cell>
        </row>
        <row r="3417">
          <cell r="N3417">
            <v>150000</v>
          </cell>
        </row>
        <row r="3418">
          <cell r="N3418">
            <v>150000</v>
          </cell>
        </row>
        <row r="3419">
          <cell r="N3419">
            <v>0</v>
          </cell>
        </row>
        <row r="3420">
          <cell r="N3420">
            <v>0</v>
          </cell>
        </row>
        <row r="3421">
          <cell r="N3421">
            <v>0</v>
          </cell>
        </row>
        <row r="3422">
          <cell r="N3422">
            <v>0</v>
          </cell>
        </row>
        <row r="3423">
          <cell r="N3423">
            <v>0</v>
          </cell>
        </row>
        <row r="3424">
          <cell r="N3424">
            <v>0</v>
          </cell>
        </row>
        <row r="3425">
          <cell r="N3425">
            <v>0</v>
          </cell>
        </row>
        <row r="3426">
          <cell r="N3426">
            <v>0</v>
          </cell>
        </row>
        <row r="3427">
          <cell r="N3427">
            <v>0</v>
          </cell>
        </row>
        <row r="3428">
          <cell r="N3428">
            <v>61172.81</v>
          </cell>
        </row>
        <row r="3429">
          <cell r="N3429">
            <v>61172.81</v>
          </cell>
        </row>
        <row r="3430">
          <cell r="N3430">
            <v>0</v>
          </cell>
        </row>
        <row r="3431">
          <cell r="N3431">
            <v>0</v>
          </cell>
        </row>
        <row r="3432">
          <cell r="N3432">
            <v>0</v>
          </cell>
        </row>
        <row r="3433">
          <cell r="N3433">
            <v>0</v>
          </cell>
        </row>
        <row r="3434">
          <cell r="N3434">
            <v>0</v>
          </cell>
        </row>
        <row r="3435">
          <cell r="N3435">
            <v>0</v>
          </cell>
        </row>
        <row r="3436">
          <cell r="N3436">
            <v>0</v>
          </cell>
        </row>
        <row r="3437">
          <cell r="N3437">
            <v>0</v>
          </cell>
        </row>
        <row r="3438">
          <cell r="N3438">
            <v>0</v>
          </cell>
        </row>
        <row r="3439">
          <cell r="N3439">
            <v>0</v>
          </cell>
        </row>
        <row r="3440">
          <cell r="N3440">
            <v>0</v>
          </cell>
        </row>
        <row r="3441">
          <cell r="N3441">
            <v>0</v>
          </cell>
        </row>
        <row r="3442">
          <cell r="N3442">
            <v>0</v>
          </cell>
        </row>
        <row r="3443">
          <cell r="N3443">
            <v>0</v>
          </cell>
        </row>
        <row r="3444">
          <cell r="N3444">
            <v>0</v>
          </cell>
        </row>
        <row r="3445">
          <cell r="N3445">
            <v>0</v>
          </cell>
        </row>
        <row r="3446">
          <cell r="N3446">
            <v>0</v>
          </cell>
        </row>
        <row r="3447">
          <cell r="N3447">
            <v>0</v>
          </cell>
        </row>
        <row r="3448">
          <cell r="N3448">
            <v>0</v>
          </cell>
        </row>
        <row r="3449">
          <cell r="N3449">
            <v>0</v>
          </cell>
        </row>
        <row r="3450">
          <cell r="N3450">
            <v>0</v>
          </cell>
        </row>
        <row r="3451">
          <cell r="N3451">
            <v>0</v>
          </cell>
        </row>
        <row r="3452">
          <cell r="N3452">
            <v>0</v>
          </cell>
        </row>
        <row r="3453">
          <cell r="N3453">
            <v>0</v>
          </cell>
        </row>
        <row r="3454">
          <cell r="N3454">
            <v>0</v>
          </cell>
        </row>
        <row r="3455">
          <cell r="N3455">
            <v>0</v>
          </cell>
        </row>
        <row r="3456">
          <cell r="N3456">
            <v>0</v>
          </cell>
        </row>
        <row r="3457">
          <cell r="N3457">
            <v>0</v>
          </cell>
        </row>
        <row r="3458">
          <cell r="N3458">
            <v>0</v>
          </cell>
        </row>
        <row r="3459">
          <cell r="N3459">
            <v>0</v>
          </cell>
        </row>
        <row r="3460">
          <cell r="N3460">
            <v>0</v>
          </cell>
        </row>
        <row r="3461">
          <cell r="N3461">
            <v>0</v>
          </cell>
        </row>
        <row r="3462">
          <cell r="N3462">
            <v>0</v>
          </cell>
        </row>
        <row r="3463">
          <cell r="N3463">
            <v>0</v>
          </cell>
        </row>
        <row r="3464">
          <cell r="N3464">
            <v>0</v>
          </cell>
        </row>
        <row r="3465">
          <cell r="N3465">
            <v>0</v>
          </cell>
        </row>
        <row r="3466">
          <cell r="N3466">
            <v>0</v>
          </cell>
        </row>
        <row r="3467">
          <cell r="N3467">
            <v>0</v>
          </cell>
        </row>
        <row r="3468">
          <cell r="N3468">
            <v>0</v>
          </cell>
        </row>
        <row r="3469">
          <cell r="N3469">
            <v>0</v>
          </cell>
        </row>
        <row r="3470">
          <cell r="N3470">
            <v>0</v>
          </cell>
        </row>
        <row r="3471">
          <cell r="N3471">
            <v>0</v>
          </cell>
        </row>
        <row r="3472">
          <cell r="N3472">
            <v>0</v>
          </cell>
        </row>
        <row r="3473">
          <cell r="N3473">
            <v>0</v>
          </cell>
        </row>
        <row r="3474">
          <cell r="N3474">
            <v>0</v>
          </cell>
        </row>
        <row r="3475">
          <cell r="N3475">
            <v>0</v>
          </cell>
        </row>
        <row r="3476">
          <cell r="N3476">
            <v>0</v>
          </cell>
        </row>
        <row r="3477">
          <cell r="N3477">
            <v>0</v>
          </cell>
        </row>
        <row r="3478">
          <cell r="N3478">
            <v>0</v>
          </cell>
        </row>
        <row r="3479">
          <cell r="N3479">
            <v>0</v>
          </cell>
        </row>
        <row r="3480">
          <cell r="N3480">
            <v>0</v>
          </cell>
        </row>
        <row r="3481">
          <cell r="N3481">
            <v>0</v>
          </cell>
        </row>
        <row r="3482">
          <cell r="N3482">
            <v>0</v>
          </cell>
        </row>
        <row r="3483">
          <cell r="N3483">
            <v>0</v>
          </cell>
        </row>
        <row r="3484">
          <cell r="N3484">
            <v>0</v>
          </cell>
        </row>
        <row r="3485">
          <cell r="N3485">
            <v>0</v>
          </cell>
        </row>
        <row r="3486">
          <cell r="N3486">
            <v>0</v>
          </cell>
        </row>
        <row r="3487">
          <cell r="N3487">
            <v>0</v>
          </cell>
        </row>
        <row r="3488">
          <cell r="N3488">
            <v>0</v>
          </cell>
        </row>
        <row r="3489">
          <cell r="N3489">
            <v>55000</v>
          </cell>
        </row>
        <row r="3490">
          <cell r="N3490">
            <v>6172.81</v>
          </cell>
        </row>
        <row r="3491">
          <cell r="N3491">
            <v>0</v>
          </cell>
        </row>
        <row r="3492">
          <cell r="N3492">
            <v>0</v>
          </cell>
        </row>
        <row r="3493">
          <cell r="N3493">
            <v>2242961</v>
          </cell>
        </row>
        <row r="3494">
          <cell r="N3494">
            <v>2242961</v>
          </cell>
        </row>
        <row r="3495">
          <cell r="N3495">
            <v>0</v>
          </cell>
        </row>
        <row r="3496">
          <cell r="N3496">
            <v>0</v>
          </cell>
        </row>
        <row r="3497">
          <cell r="N3497">
            <v>0</v>
          </cell>
        </row>
        <row r="3498">
          <cell r="N3498">
            <v>2242961</v>
          </cell>
        </row>
        <row r="3499">
          <cell r="N3499">
            <v>688350</v>
          </cell>
        </row>
        <row r="3500">
          <cell r="N3500">
            <v>746855</v>
          </cell>
        </row>
        <row r="3501">
          <cell r="N3501">
            <v>807756</v>
          </cell>
        </row>
        <row r="3502">
          <cell r="N3502">
            <v>691864</v>
          </cell>
        </row>
        <row r="3503">
          <cell r="N3503">
            <v>691864</v>
          </cell>
        </row>
        <row r="3504">
          <cell r="N3504">
            <v>0</v>
          </cell>
        </row>
        <row r="3505">
          <cell r="N3505">
            <v>0</v>
          </cell>
        </row>
        <row r="3506">
          <cell r="N3506">
            <v>84000</v>
          </cell>
        </row>
        <row r="3507">
          <cell r="N3507">
            <v>607864</v>
          </cell>
        </row>
        <row r="3508">
          <cell r="N3508">
            <v>0</v>
          </cell>
        </row>
        <row r="3509">
          <cell r="N3509">
            <v>0</v>
          </cell>
        </row>
        <row r="3510">
          <cell r="N3510">
            <v>0</v>
          </cell>
        </row>
        <row r="3511">
          <cell r="N3511">
            <v>0</v>
          </cell>
        </row>
        <row r="3512">
          <cell r="N3512">
            <v>0</v>
          </cell>
        </row>
        <row r="3513">
          <cell r="N3513">
            <v>0</v>
          </cell>
        </row>
        <row r="3514">
          <cell r="N3514">
            <v>0</v>
          </cell>
        </row>
        <row r="3515">
          <cell r="N3515">
            <v>0</v>
          </cell>
        </row>
        <row r="3516">
          <cell r="N3516">
            <v>0</v>
          </cell>
        </row>
        <row r="3517">
          <cell r="N3517">
            <v>0</v>
          </cell>
        </row>
        <row r="3518">
          <cell r="N3518">
            <v>0</v>
          </cell>
        </row>
        <row r="3519">
          <cell r="N3519">
            <v>0</v>
          </cell>
        </row>
        <row r="3520">
          <cell r="N3520">
            <v>0</v>
          </cell>
        </row>
        <row r="3521">
          <cell r="N3521">
            <v>0</v>
          </cell>
        </row>
        <row r="3522">
          <cell r="N3522">
            <v>0</v>
          </cell>
        </row>
        <row r="3523">
          <cell r="N3523">
            <v>0</v>
          </cell>
        </row>
        <row r="3524">
          <cell r="N3524">
            <v>43500</v>
          </cell>
        </row>
        <row r="3525">
          <cell r="N3525">
            <v>0</v>
          </cell>
        </row>
        <row r="3526">
          <cell r="N3526">
            <v>0</v>
          </cell>
        </row>
        <row r="3527">
          <cell r="N3527">
            <v>0</v>
          </cell>
        </row>
        <row r="3528">
          <cell r="N3528">
            <v>0</v>
          </cell>
        </row>
        <row r="3529">
          <cell r="N3529">
            <v>0</v>
          </cell>
        </row>
        <row r="3530">
          <cell r="N3530">
            <v>43500</v>
          </cell>
        </row>
        <row r="3531">
          <cell r="N3531">
            <v>43500</v>
          </cell>
        </row>
        <row r="3532">
          <cell r="N3532">
            <v>0</v>
          </cell>
        </row>
        <row r="3533">
          <cell r="N3533">
            <v>0</v>
          </cell>
        </row>
        <row r="3534">
          <cell r="N3534">
            <v>0</v>
          </cell>
        </row>
        <row r="3535">
          <cell r="N3535">
            <v>0</v>
          </cell>
        </row>
        <row r="3536">
          <cell r="N3536">
            <v>0</v>
          </cell>
        </row>
        <row r="3537">
          <cell r="N3537">
            <v>0</v>
          </cell>
        </row>
        <row r="3538">
          <cell r="N3538">
            <v>0</v>
          </cell>
        </row>
        <row r="3539">
          <cell r="N3539">
            <v>0</v>
          </cell>
        </row>
        <row r="3540">
          <cell r="N3540">
            <v>0</v>
          </cell>
        </row>
        <row r="3541">
          <cell r="N3541">
            <v>580114.93999999994</v>
          </cell>
        </row>
        <row r="3542">
          <cell r="N3542">
            <v>0</v>
          </cell>
        </row>
        <row r="3543">
          <cell r="N3543">
            <v>0</v>
          </cell>
        </row>
        <row r="3544">
          <cell r="N3544">
            <v>580114.93999999994</v>
          </cell>
        </row>
        <row r="3545">
          <cell r="N3545">
            <v>580114.93999999994</v>
          </cell>
        </row>
        <row r="3546">
          <cell r="N3546">
            <v>2998226.98</v>
          </cell>
        </row>
        <row r="3547">
          <cell r="N3547">
            <v>2998226.98</v>
          </cell>
        </row>
        <row r="3548">
          <cell r="N3548">
            <v>2998226.98</v>
          </cell>
        </row>
        <row r="3549">
          <cell r="N3549">
            <v>499939.38</v>
          </cell>
        </row>
        <row r="3550">
          <cell r="N3550">
            <v>499939.38</v>
          </cell>
        </row>
        <row r="3551">
          <cell r="N3551">
            <v>2498287.6</v>
          </cell>
        </row>
        <row r="3552">
          <cell r="N3552">
            <v>2498287.6</v>
          </cell>
        </row>
      </sheetData>
      <sheetData sheetId="7">
        <row r="1342">
          <cell r="X1342">
            <v>2350602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2018 "/>
      <sheetName val="24 San Luis Potosi"/>
      <sheetName val="25 Sinaloa"/>
      <sheetName val="26 Sonora"/>
      <sheetName val="28 Tamaulipas"/>
      <sheetName val="Evaluacion del Desempeño"/>
      <sheetName val="Formacion Inicial"/>
      <sheetName val="Control de Confianza"/>
      <sheetName val="InformacionCUP"/>
      <sheetName val="Competencias Basicas"/>
      <sheetName val="Nivel de Mando"/>
      <sheetName val="Puesto"/>
      <sheetName val="Centro de Trabajo"/>
      <sheetName val="Escolaridad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7271-7B5F-44BE-85CD-CA9910F056ED}">
  <sheetPr>
    <tabColor theme="7" tint="-0.499984740745262"/>
    <pageSetUpPr fitToPage="1"/>
  </sheetPr>
  <dimension ref="A1:M43"/>
  <sheetViews>
    <sheetView view="pageBreakPreview" topLeftCell="A10" zoomScale="40" zoomScaleNormal="50" zoomScaleSheetLayoutView="40" workbookViewId="0">
      <selection activeCell="I34" sqref="I34"/>
    </sheetView>
  </sheetViews>
  <sheetFormatPr baseColWidth="10" defaultColWidth="11.375" defaultRowHeight="14.25"/>
  <cols>
    <col min="2" max="2" width="25.375" customWidth="1"/>
    <col min="3" max="3" width="14.75" bestFit="1" customWidth="1"/>
    <col min="4" max="4" width="14.75" customWidth="1"/>
    <col min="8" max="8" width="219.25" customWidth="1"/>
    <col min="9" max="9" width="59.75" customWidth="1"/>
    <col min="11" max="11" width="19.375" bestFit="1" customWidth="1"/>
    <col min="12" max="12" width="52" customWidth="1"/>
  </cols>
  <sheetData>
    <row r="1" spans="1:13" s="7" customFormat="1" ht="32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/>
      <c r="L1" s="5"/>
      <c r="M1" s="6"/>
    </row>
    <row r="2" spans="1:13" s="7" customFormat="1" ht="32.25" customHeight="1">
      <c r="A2" s="1"/>
      <c r="B2" s="2" t="s">
        <v>1</v>
      </c>
      <c r="C2" s="8"/>
      <c r="D2" s="8"/>
      <c r="E2" s="8"/>
      <c r="F2" s="8"/>
      <c r="G2" s="8"/>
      <c r="H2" s="8"/>
      <c r="I2" s="8"/>
      <c r="J2" s="9"/>
      <c r="K2" s="5"/>
      <c r="L2" s="5"/>
      <c r="M2" s="6"/>
    </row>
    <row r="3" spans="1:13" s="7" customFormat="1" ht="32.25" customHeight="1">
      <c r="A3" s="1"/>
      <c r="B3" s="8" t="s">
        <v>2</v>
      </c>
      <c r="C3" s="10"/>
      <c r="D3" s="10"/>
      <c r="E3" s="10"/>
      <c r="F3" s="10"/>
      <c r="G3" s="10"/>
      <c r="H3" s="10"/>
      <c r="I3" s="10"/>
      <c r="J3" s="11"/>
      <c r="K3" s="5"/>
      <c r="L3" s="5"/>
      <c r="M3" s="6"/>
    </row>
    <row r="4" spans="1:13" s="7" customFormat="1" ht="32.25" customHeight="1">
      <c r="A4" s="1"/>
      <c r="B4" s="12" t="s">
        <v>540</v>
      </c>
      <c r="C4" s="13"/>
      <c r="D4" s="13"/>
      <c r="E4" s="13"/>
      <c r="F4" s="13"/>
      <c r="G4" s="13"/>
      <c r="H4" s="13"/>
      <c r="I4" s="13"/>
      <c r="J4" s="14"/>
      <c r="K4" s="5"/>
      <c r="L4" s="5"/>
      <c r="M4" s="6"/>
    </row>
    <row r="5" spans="1:13" s="7" customFormat="1" ht="32.25" customHeight="1">
      <c r="A5" s="1"/>
      <c r="B5" s="12" t="s">
        <v>541</v>
      </c>
      <c r="C5" s="13"/>
      <c r="D5" s="13"/>
      <c r="E5" s="13"/>
      <c r="F5" s="13"/>
      <c r="G5" s="13"/>
      <c r="H5" s="13"/>
      <c r="I5" s="13"/>
      <c r="J5" s="14"/>
      <c r="K5" s="5"/>
      <c r="L5" s="5"/>
      <c r="M5" s="6"/>
    </row>
    <row r="6" spans="1:13" s="7" customFormat="1" ht="42.75" customHeight="1" thickBot="1">
      <c r="A6" s="1"/>
      <c r="B6" s="15" t="s">
        <v>544</v>
      </c>
      <c r="C6" s="16"/>
      <c r="D6" s="16"/>
      <c r="E6" s="17"/>
      <c r="F6" s="17"/>
      <c r="G6" s="18"/>
      <c r="H6" s="19"/>
      <c r="I6" s="20"/>
      <c r="J6" s="21"/>
      <c r="K6" s="5"/>
      <c r="L6" s="5"/>
      <c r="M6" s="6"/>
    </row>
    <row r="7" spans="1:13" s="7" customFormat="1" ht="60" customHeight="1" thickBot="1">
      <c r="A7" s="1"/>
      <c r="B7" s="197" t="s">
        <v>3</v>
      </c>
      <c r="C7" s="199" t="s">
        <v>4</v>
      </c>
      <c r="D7" s="199" t="s">
        <v>5</v>
      </c>
      <c r="E7" s="199" t="s">
        <v>6</v>
      </c>
      <c r="F7" s="199" t="s">
        <v>7</v>
      </c>
      <c r="G7" s="199" t="s">
        <v>8</v>
      </c>
      <c r="H7" s="195" t="s">
        <v>9</v>
      </c>
      <c r="I7" s="22" t="s">
        <v>10</v>
      </c>
      <c r="J7" s="23"/>
      <c r="K7" s="5"/>
      <c r="L7" s="5"/>
      <c r="M7" s="6"/>
    </row>
    <row r="8" spans="1:13" s="7" customFormat="1" ht="61.5" customHeight="1" thickBot="1">
      <c r="A8" s="1"/>
      <c r="B8" s="198"/>
      <c r="C8" s="200"/>
      <c r="D8" s="200"/>
      <c r="E8" s="200"/>
      <c r="F8" s="200"/>
      <c r="G8" s="200"/>
      <c r="H8" s="196"/>
      <c r="I8" s="24" t="s">
        <v>11</v>
      </c>
      <c r="J8" s="25"/>
      <c r="K8" s="5"/>
      <c r="L8" s="5"/>
      <c r="M8" s="6"/>
    </row>
    <row r="9" spans="1:13" s="7" customFormat="1" ht="51" customHeight="1">
      <c r="A9" s="1"/>
      <c r="B9" s="26"/>
      <c r="C9" s="26"/>
      <c r="D9" s="26"/>
      <c r="E9" s="26"/>
      <c r="F9" s="26"/>
      <c r="G9" s="26"/>
      <c r="H9" s="27" t="s">
        <v>12</v>
      </c>
      <c r="I9" s="28">
        <f>+I10+I20+I24</f>
        <v>10371253.699999999</v>
      </c>
      <c r="J9" s="29"/>
      <c r="K9" s="30"/>
      <c r="L9" s="190">
        <v>10371253.699999999</v>
      </c>
      <c r="M9" s="31"/>
    </row>
    <row r="10" spans="1:13" s="7" customFormat="1" ht="40.5" customHeight="1">
      <c r="A10" s="1"/>
      <c r="B10" s="32">
        <v>2026</v>
      </c>
      <c r="C10" s="32">
        <v>21</v>
      </c>
      <c r="D10" s="185">
        <v>43</v>
      </c>
      <c r="E10" s="32">
        <v>1</v>
      </c>
      <c r="F10" s="32"/>
      <c r="G10" s="32"/>
      <c r="H10" s="33" t="str">
        <f>+'EPP FORTAMUN 26'!L10</f>
        <v>Desarrollo de las y los integrantes de las Instituciones de Seguridad Pública</v>
      </c>
      <c r="I10" s="33">
        <f>+'EPP FORTAMUN 26'!M10</f>
        <v>101625</v>
      </c>
      <c r="J10" s="29"/>
      <c r="K10" s="30"/>
      <c r="L10" s="30"/>
      <c r="M10" s="31"/>
    </row>
    <row r="11" spans="1:13" s="7" customFormat="1" ht="61.5" customHeight="1">
      <c r="A11" s="1"/>
      <c r="B11" s="34">
        <v>2026</v>
      </c>
      <c r="C11" s="34">
        <v>21</v>
      </c>
      <c r="D11" s="186">
        <v>43</v>
      </c>
      <c r="E11" s="34">
        <v>1</v>
      </c>
      <c r="F11" s="34">
        <v>1</v>
      </c>
      <c r="G11" s="34"/>
      <c r="H11" s="35" t="str">
        <f>+'EPP FORTAMUN 26'!L11</f>
        <v>Fortalecimiento de las Instancias de Profesionalización y Formación de las y los integrantes de las Instituciones de Seguridad Pública</v>
      </c>
      <c r="I11" s="35">
        <f>+'EPP FORTAMUN 26'!M11</f>
        <v>101625</v>
      </c>
      <c r="J11" s="36"/>
      <c r="K11" s="30"/>
      <c r="L11" s="30"/>
      <c r="M11" s="31"/>
    </row>
    <row r="12" spans="1:13" s="7" customFormat="1" ht="42" customHeight="1">
      <c r="A12" s="1"/>
      <c r="B12" s="37">
        <v>2026</v>
      </c>
      <c r="C12" s="37">
        <v>21</v>
      </c>
      <c r="D12" s="187">
        <v>43</v>
      </c>
      <c r="E12" s="37">
        <v>1</v>
      </c>
      <c r="F12" s="37">
        <v>1</v>
      </c>
      <c r="G12" s="37">
        <v>1</v>
      </c>
      <c r="H12" s="38" t="str">
        <f>+'EPP FORTAMUN 26'!L12</f>
        <v>Programas de Formación Inicial y Continua conforme al Programa Rector</v>
      </c>
      <c r="I12" s="38">
        <f>+'EPP FORTAMUN 26'!M12</f>
        <v>101625</v>
      </c>
      <c r="J12" s="36"/>
      <c r="K12" s="30"/>
      <c r="L12" s="30"/>
      <c r="M12" s="31"/>
    </row>
    <row r="13" spans="1:13" s="7" customFormat="1" ht="42" customHeight="1">
      <c r="A13" s="1"/>
      <c r="B13" s="37">
        <v>2026</v>
      </c>
      <c r="C13" s="37">
        <v>21</v>
      </c>
      <c r="D13" s="187">
        <v>43</v>
      </c>
      <c r="E13" s="37">
        <v>1</v>
      </c>
      <c r="F13" s="37">
        <v>1</v>
      </c>
      <c r="G13" s="37">
        <v>2</v>
      </c>
      <c r="H13" s="38" t="str">
        <f>+'EPP FORTAMUN 26'!L24</f>
        <v>Equipamiento de las Instancias de Profesionalización de las Instituciones Policiales</v>
      </c>
      <c r="I13" s="38">
        <f>+'EPP FORTAMUN 26'!M24</f>
        <v>0</v>
      </c>
      <c r="J13" s="36"/>
      <c r="K13" s="30"/>
      <c r="L13" s="30"/>
      <c r="M13" s="31"/>
    </row>
    <row r="14" spans="1:13" s="7" customFormat="1" ht="42" customHeight="1">
      <c r="A14" s="1"/>
      <c r="B14" s="37">
        <v>2026</v>
      </c>
      <c r="C14" s="37">
        <v>21</v>
      </c>
      <c r="D14" s="187">
        <v>43</v>
      </c>
      <c r="E14" s="37">
        <v>1</v>
      </c>
      <c r="F14" s="37">
        <v>1</v>
      </c>
      <c r="G14" s="37">
        <v>3</v>
      </c>
      <c r="H14" s="38" t="str">
        <f>+'EPP FORTAMUN 26'!L288</f>
        <v>Infraestructura de las Instancias de Profesionalización de las Instituciones Policiales</v>
      </c>
      <c r="I14" s="38">
        <f>+'EPP FORTAMUN 26'!M288</f>
        <v>0</v>
      </c>
      <c r="J14" s="36"/>
      <c r="K14" s="30"/>
      <c r="L14" s="30"/>
      <c r="M14" s="31"/>
    </row>
    <row r="15" spans="1:13" s="7" customFormat="1" ht="42" customHeight="1">
      <c r="A15" s="1"/>
      <c r="B15" s="34">
        <v>2026</v>
      </c>
      <c r="C15" s="34">
        <v>21</v>
      </c>
      <c r="D15" s="186">
        <v>43</v>
      </c>
      <c r="E15" s="34">
        <v>1</v>
      </c>
      <c r="F15" s="34">
        <v>2</v>
      </c>
      <c r="G15" s="34"/>
      <c r="H15" s="35" t="str">
        <f>+'EPP FORTAMUN 26'!L294</f>
        <v>Servicio Profesional de Carrera</v>
      </c>
      <c r="I15" s="35">
        <f>+'EPP FORTAMUN 26'!M294</f>
        <v>0</v>
      </c>
      <c r="J15" s="36" t="s">
        <v>13</v>
      </c>
      <c r="K15" s="30"/>
      <c r="L15" s="30"/>
      <c r="M15" s="31"/>
    </row>
    <row r="16" spans="1:13" s="7" customFormat="1" ht="42" customHeight="1">
      <c r="A16" s="1"/>
      <c r="B16" s="37">
        <v>2026</v>
      </c>
      <c r="C16" s="37">
        <v>21</v>
      </c>
      <c r="D16" s="187">
        <v>43</v>
      </c>
      <c r="E16" s="37">
        <v>1</v>
      </c>
      <c r="F16" s="37">
        <v>2</v>
      </c>
      <c r="G16" s="37">
        <v>6</v>
      </c>
      <c r="H16" s="38" t="str">
        <f>+'EPP FORTAMUN 26'!L295</f>
        <v>Incremento del Estado de Fuerza de las Instituciones Policiales</v>
      </c>
      <c r="I16" s="38">
        <f>+'EPP FORTAMUN 26'!M295</f>
        <v>0</v>
      </c>
      <c r="J16" s="39"/>
      <c r="K16" s="30"/>
      <c r="L16" s="30"/>
      <c r="M16" s="31"/>
    </row>
    <row r="17" spans="1:13" s="7" customFormat="1" ht="42" customHeight="1">
      <c r="A17" s="1"/>
      <c r="B17" s="37">
        <v>2026</v>
      </c>
      <c r="C17" s="37">
        <v>21</v>
      </c>
      <c r="D17" s="187">
        <v>43</v>
      </c>
      <c r="E17" s="37">
        <v>1</v>
      </c>
      <c r="F17" s="37">
        <v>2</v>
      </c>
      <c r="G17" s="37">
        <v>8</v>
      </c>
      <c r="H17" s="38" t="str">
        <f>+'EPP FORTAMUN 26'!L300</f>
        <v>Evaluaciones de Control de Confianza para las y los Integrantes de las  Instituciones de Seguridad Pública</v>
      </c>
      <c r="I17" s="38">
        <f>+'EPP FORTAMUN 26'!M300</f>
        <v>0</v>
      </c>
      <c r="J17" s="39"/>
      <c r="K17" s="30"/>
      <c r="L17" s="30"/>
      <c r="M17" s="31"/>
    </row>
    <row r="18" spans="1:13" s="7" customFormat="1" ht="60.75" customHeight="1">
      <c r="A18" s="1"/>
      <c r="B18" s="37">
        <v>2026</v>
      </c>
      <c r="C18" s="37">
        <v>21</v>
      </c>
      <c r="D18" s="187">
        <v>43</v>
      </c>
      <c r="E18" s="37">
        <v>1</v>
      </c>
      <c r="F18" s="37">
        <v>2</v>
      </c>
      <c r="G18" s="37">
        <v>10</v>
      </c>
      <c r="H18" s="38" t="str">
        <f>+'EPP FORTAMUN 26'!L305</f>
        <v>Mejora Salarial, Incentivos y Reconocimientos para las y los Integrantes de las Instituciones de Seguridad Pública</v>
      </c>
      <c r="I18" s="38">
        <f>+'EPP FORTAMUN 26'!M305</f>
        <v>0</v>
      </c>
      <c r="J18" s="39"/>
      <c r="K18" s="30"/>
      <c r="L18" s="30"/>
      <c r="M18" s="31"/>
    </row>
    <row r="19" spans="1:13" s="7" customFormat="1" ht="42" customHeight="1">
      <c r="A19" s="1"/>
      <c r="B19" s="37">
        <v>2026</v>
      </c>
      <c r="C19" s="37">
        <v>21</v>
      </c>
      <c r="D19" s="187">
        <v>43</v>
      </c>
      <c r="E19" s="37">
        <v>1</v>
      </c>
      <c r="F19" s="37">
        <v>2</v>
      </c>
      <c r="G19" s="37">
        <v>11</v>
      </c>
      <c r="H19" s="38" t="str">
        <f>+'EPP FORTAMUN 26'!L316</f>
        <v>Seguridad Social y Prestaciones para las y los integrantes de las Instituciones de Seguridad Pública</v>
      </c>
      <c r="I19" s="38">
        <f>+'EPP FORTAMUN 26'!M316</f>
        <v>0</v>
      </c>
      <c r="J19" s="39"/>
      <c r="K19" s="30"/>
      <c r="L19" s="30"/>
      <c r="M19" s="31"/>
    </row>
    <row r="20" spans="1:13" s="7" customFormat="1" ht="40.5" customHeight="1">
      <c r="A20" s="1"/>
      <c r="B20" s="32">
        <v>2026</v>
      </c>
      <c r="C20" s="32">
        <v>21</v>
      </c>
      <c r="D20" s="185">
        <v>43</v>
      </c>
      <c r="E20" s="32">
        <v>2</v>
      </c>
      <c r="F20" s="32"/>
      <c r="G20" s="32"/>
      <c r="H20" s="33" t="str">
        <f>+'EPP FORTAMUN 26'!L325</f>
        <v>Desarrollo  de las Capacidades de las Instituciones de Seguridad Pública</v>
      </c>
      <c r="I20" s="33">
        <f>+'EPP FORTAMUN 26'!M325</f>
        <v>1382053.7</v>
      </c>
      <c r="J20" s="36"/>
      <c r="K20" s="30"/>
      <c r="L20" s="30"/>
      <c r="M20" s="31"/>
    </row>
    <row r="21" spans="1:13" s="7" customFormat="1" ht="40.5" customHeight="1">
      <c r="A21" s="1"/>
      <c r="B21" s="34">
        <v>2026</v>
      </c>
      <c r="C21" s="34">
        <v>21</v>
      </c>
      <c r="D21" s="186">
        <v>43</v>
      </c>
      <c r="E21" s="34">
        <v>2</v>
      </c>
      <c r="F21" s="34">
        <v>3</v>
      </c>
      <c r="G21" s="34"/>
      <c r="H21" s="35" t="str">
        <f>+'EPP FORTAMUN 26'!L326</f>
        <v>Fortalecimiento de las Instituciones Policiales</v>
      </c>
      <c r="I21" s="35">
        <f>+'EPP FORTAMUN 26'!M326</f>
        <v>1382053.7</v>
      </c>
      <c r="J21" s="36"/>
      <c r="K21" s="30"/>
      <c r="L21" s="30"/>
      <c r="M21" s="31"/>
    </row>
    <row r="22" spans="1:13" s="7" customFormat="1" ht="42" customHeight="1">
      <c r="A22" s="1"/>
      <c r="B22" s="37">
        <v>2026</v>
      </c>
      <c r="C22" s="37">
        <v>21</v>
      </c>
      <c r="D22" s="187">
        <v>43</v>
      </c>
      <c r="E22" s="37">
        <v>2</v>
      </c>
      <c r="F22" s="37">
        <v>3</v>
      </c>
      <c r="G22" s="37">
        <v>12</v>
      </c>
      <c r="H22" s="38" t="str">
        <f>+'EPP FORTAMUN 26'!L327</f>
        <v>Equipamiento de las Instituciones Policiales</v>
      </c>
      <c r="I22" s="38">
        <f>+'EPP FORTAMUN 26'!M327</f>
        <v>1382053.7</v>
      </c>
      <c r="J22" s="29"/>
      <c r="K22" s="30"/>
      <c r="L22" s="30"/>
      <c r="M22" s="31"/>
    </row>
    <row r="23" spans="1:13" s="7" customFormat="1" ht="42" customHeight="1">
      <c r="A23" s="1"/>
      <c r="B23" s="37">
        <v>2026</v>
      </c>
      <c r="C23" s="37">
        <v>21</v>
      </c>
      <c r="D23" s="187">
        <v>43</v>
      </c>
      <c r="E23" s="37">
        <v>2</v>
      </c>
      <c r="F23" s="37">
        <v>3</v>
      </c>
      <c r="G23" s="37">
        <v>13</v>
      </c>
      <c r="H23" s="38" t="str">
        <f>+'EPP FORTAMUN 26'!L528</f>
        <v>Infraestructura de las Instituciones Policiales</v>
      </c>
      <c r="I23" s="38">
        <f>+'EPP FORTAMUN 26'!M528</f>
        <v>0</v>
      </c>
      <c r="J23" s="36"/>
      <c r="K23" s="30"/>
      <c r="L23" s="30"/>
      <c r="M23" s="31"/>
    </row>
    <row r="24" spans="1:13" s="7" customFormat="1" ht="51" customHeight="1">
      <c r="A24" s="1"/>
      <c r="B24" s="32">
        <v>2026</v>
      </c>
      <c r="C24" s="32">
        <v>21</v>
      </c>
      <c r="D24" s="185">
        <v>43</v>
      </c>
      <c r="E24" s="32">
        <v>3</v>
      </c>
      <c r="F24" s="32"/>
      <c r="G24" s="32"/>
      <c r="H24" s="33" t="str">
        <f>+'EPP FORTAMUN 26'!L534</f>
        <v>Modernización  y Estandarización de la Infraestructura Tecnológica para la Seguridad Pública</v>
      </c>
      <c r="I24" s="33">
        <f>+'EPP FORTAMUN 26'!M534</f>
        <v>8887575</v>
      </c>
      <c r="J24" s="29"/>
      <c r="K24" s="40"/>
      <c r="L24" s="40"/>
      <c r="M24" s="41"/>
    </row>
    <row r="25" spans="1:13" s="7" customFormat="1" ht="66" customHeight="1">
      <c r="A25" s="1"/>
      <c r="B25" s="34">
        <v>2026</v>
      </c>
      <c r="C25" s="34">
        <v>21</v>
      </c>
      <c r="D25" s="186">
        <v>43</v>
      </c>
      <c r="E25" s="34">
        <v>3</v>
      </c>
      <c r="F25" s="34">
        <v>8</v>
      </c>
      <c r="G25" s="34"/>
      <c r="H25" s="184" t="str">
        <f>+'EPP FORTAMUN 26'!L535</f>
        <v>Fortalecimiento Tecnológico y Operativo de los Centros de Comando y Control y las Instituciones de Seguridad Pública</v>
      </c>
      <c r="I25" s="35">
        <f>+'EPP FORTAMUN 26'!M535</f>
        <v>8846375</v>
      </c>
      <c r="J25" s="29"/>
      <c r="K25" s="40"/>
      <c r="L25" s="40"/>
      <c r="M25" s="41"/>
    </row>
    <row r="26" spans="1:13" ht="31.5">
      <c r="B26" s="37">
        <v>2026</v>
      </c>
      <c r="C26" s="37">
        <v>21</v>
      </c>
      <c r="D26" s="187">
        <v>43</v>
      </c>
      <c r="E26" s="37">
        <v>3</v>
      </c>
      <c r="F26" s="37">
        <v>8</v>
      </c>
      <c r="G26" s="37">
        <v>23</v>
      </c>
      <c r="H26" s="38" t="str">
        <f>+'EPP FORTAMUN 26'!L536</f>
        <v>Actualización, Modernización y Mantenimiento de la Red Nacional de Radiocomunicación</v>
      </c>
      <c r="I26" s="38">
        <f>+'EPP FORTAMUN 26'!M536</f>
        <v>680750</v>
      </c>
    </row>
    <row r="27" spans="1:13" ht="31.5">
      <c r="B27" s="37">
        <v>2026</v>
      </c>
      <c r="C27" s="37">
        <v>21</v>
      </c>
      <c r="D27" s="187">
        <v>43</v>
      </c>
      <c r="E27" s="37">
        <v>3</v>
      </c>
      <c r="F27" s="37">
        <v>8</v>
      </c>
      <c r="G27" s="37">
        <v>24</v>
      </c>
      <c r="H27" s="38" t="str">
        <f>+'EPP FORTAMUN 26'!L544</f>
        <v>Sistemas de Identificación Vehicular y Videovigilancia Urbana para la Seguridad Pública</v>
      </c>
      <c r="I27" s="38">
        <f>+'EPP FORTAMUN 26'!M544</f>
        <v>8165624.9999999991</v>
      </c>
    </row>
    <row r="28" spans="1:13" s="7" customFormat="1" ht="66" customHeight="1">
      <c r="A28" s="1"/>
      <c r="B28" s="34">
        <v>2026</v>
      </c>
      <c r="C28" s="34">
        <v>21</v>
      </c>
      <c r="D28" s="186">
        <v>43</v>
      </c>
      <c r="E28" s="34">
        <v>3</v>
      </c>
      <c r="F28" s="34">
        <v>9</v>
      </c>
      <c r="G28" s="34"/>
      <c r="H28" s="35" t="str">
        <f>+'EPP FORTAMUN 26'!L584</f>
        <v>Modernización de las Instancias Estatales del Registro Público Vehicular (REPUVE)</v>
      </c>
      <c r="I28" s="35">
        <f>+'EPP FORTAMUN 26'!M584</f>
        <v>41200</v>
      </c>
      <c r="J28" s="29"/>
      <c r="K28" s="40"/>
      <c r="L28" s="40"/>
      <c r="M28" s="41"/>
    </row>
    <row r="29" spans="1:13" ht="32.25" thickBot="1">
      <c r="B29" s="42">
        <f>+'EPP FORTAMUN 26'!B585</f>
        <v>2026</v>
      </c>
      <c r="C29" s="42">
        <v>21</v>
      </c>
      <c r="D29" s="188">
        <v>43</v>
      </c>
      <c r="E29" s="42">
        <v>3</v>
      </c>
      <c r="F29" s="42">
        <v>9</v>
      </c>
      <c r="G29" s="42">
        <v>26</v>
      </c>
      <c r="H29" s="43" t="str">
        <f>+'EPP FORTAMUN 26'!L585</f>
        <v>Fortalecimiento de la Infraestructura de los Puntos de Monitoreo Vehicular (RFID+LPR)</v>
      </c>
      <c r="I29" s="43">
        <f>+'EPP FORTAMUN 26'!M585</f>
        <v>41200</v>
      </c>
    </row>
    <row r="30" spans="1:13" ht="31.5">
      <c r="B30" s="44"/>
      <c r="C30" s="44"/>
      <c r="D30" s="44"/>
      <c r="E30" s="44"/>
      <c r="F30" s="44"/>
      <c r="G30" s="44"/>
      <c r="H30" s="45"/>
      <c r="I30" s="46"/>
    </row>
    <row r="42" spans="8:8" ht="23.25">
      <c r="H42" s="189" t="s">
        <v>542</v>
      </c>
    </row>
    <row r="43" spans="8:8" ht="23.25">
      <c r="H43" s="189" t="s">
        <v>543</v>
      </c>
    </row>
  </sheetData>
  <mergeCells count="7">
    <mergeCell ref="H7:H8"/>
    <mergeCell ref="B7:B8"/>
    <mergeCell ref="C7:C8"/>
    <mergeCell ref="E7:E8"/>
    <mergeCell ref="F7:F8"/>
    <mergeCell ref="G7:G8"/>
    <mergeCell ref="D7:D8"/>
  </mergeCells>
  <phoneticPr fontId="18" type="noConversion"/>
  <printOptions horizontalCentered="1" verticalCentered="1"/>
  <pageMargins left="0" right="0" top="0" bottom="0" header="0.31496062992125984" footer="0.31496062992125984"/>
  <pageSetup paperSize="3"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107A-2291-48D6-9265-C5582D121CCC}">
  <sheetPr>
    <tabColor theme="7" tint="-0.499984740745262"/>
    <pageSetUpPr fitToPage="1"/>
  </sheetPr>
  <dimension ref="A1:BG594"/>
  <sheetViews>
    <sheetView tabSelected="1" view="pageBreakPreview" topLeftCell="A559" zoomScale="70" zoomScaleNormal="70" zoomScaleSheetLayoutView="70" zoomScalePageLayoutView="80" workbookViewId="0">
      <selection activeCell="M591" sqref="M591"/>
    </sheetView>
  </sheetViews>
  <sheetFormatPr baseColWidth="10" defaultColWidth="14.875" defaultRowHeight="51" customHeight="1"/>
  <cols>
    <col min="1" max="1" width="12.125" customWidth="1"/>
    <col min="2" max="10" width="8.875" style="48" customWidth="1"/>
    <col min="11" max="11" width="8.875" style="160" customWidth="1"/>
    <col min="12" max="12" width="81.125" style="161" customWidth="1"/>
    <col min="13" max="13" width="24.75" style="48" customWidth="1"/>
    <col min="14" max="14" width="15.375" style="162" customWidth="1"/>
    <col min="15" max="16" width="10.625" style="163" customWidth="1"/>
    <col min="17" max="17" width="15.125" style="48" bestFit="1" customWidth="1"/>
    <col min="18" max="18" width="17.625" style="48" customWidth="1"/>
    <col min="19" max="19" width="16.375" style="48" bestFit="1" customWidth="1"/>
    <col min="20" max="21" width="15.125" style="48" bestFit="1" customWidth="1"/>
    <col min="22" max="16384" width="14.875" style="48"/>
  </cols>
  <sheetData>
    <row r="1" spans="1:20" ht="18">
      <c r="B1" s="47" t="s">
        <v>0</v>
      </c>
      <c r="F1" s="49"/>
      <c r="G1" s="49"/>
      <c r="H1" s="49"/>
      <c r="I1" s="49"/>
      <c r="J1" s="49"/>
      <c r="K1" s="49"/>
      <c r="L1" s="49"/>
      <c r="M1" s="49"/>
      <c r="N1" s="50"/>
      <c r="O1" s="49"/>
      <c r="P1" s="49"/>
    </row>
    <row r="2" spans="1:20" ht="18">
      <c r="B2" s="47" t="s">
        <v>1</v>
      </c>
      <c r="F2" s="51"/>
      <c r="G2" s="51"/>
      <c r="H2" s="51"/>
      <c r="I2" s="51"/>
      <c r="J2" s="51"/>
      <c r="K2" s="51"/>
      <c r="L2" s="51"/>
      <c r="M2" s="51"/>
      <c r="N2" s="52"/>
      <c r="O2" s="51"/>
      <c r="P2" s="51"/>
    </row>
    <row r="3" spans="1:20" ht="18">
      <c r="B3" s="177" t="s">
        <v>540</v>
      </c>
      <c r="E3" s="177"/>
      <c r="F3" s="177"/>
      <c r="G3" s="177"/>
      <c r="H3" s="53"/>
      <c r="I3" s="53"/>
      <c r="J3" s="53"/>
      <c r="K3" s="53"/>
      <c r="L3" s="53"/>
      <c r="M3" s="54"/>
      <c r="N3" s="55"/>
      <c r="O3" s="53"/>
      <c r="P3" s="53"/>
    </row>
    <row r="4" spans="1:20" ht="18">
      <c r="B4" s="177" t="s">
        <v>541</v>
      </c>
      <c r="E4" s="177"/>
      <c r="F4" s="177"/>
      <c r="G4" s="177"/>
      <c r="H4" s="53"/>
      <c r="I4" s="53"/>
      <c r="J4" s="53"/>
      <c r="K4" s="53"/>
      <c r="L4" s="53"/>
      <c r="M4" s="54"/>
      <c r="N4" s="55"/>
      <c r="O4" s="53"/>
      <c r="P4" s="53"/>
    </row>
    <row r="5" spans="1:20" ht="18">
      <c r="B5" s="56" t="s">
        <v>544</v>
      </c>
      <c r="E5" s="56"/>
      <c r="F5" s="56"/>
      <c r="G5" s="56"/>
      <c r="H5" s="56"/>
      <c r="I5" s="56"/>
      <c r="J5" s="56"/>
      <c r="K5" s="56"/>
      <c r="L5" s="56"/>
      <c r="M5" s="56"/>
      <c r="N5" s="57"/>
      <c r="O5" s="56"/>
      <c r="P5" s="56"/>
    </row>
    <row r="6" spans="1:20" ht="20.25" customHeight="1" thickBot="1">
      <c r="C6" s="58"/>
      <c r="D6" s="58"/>
      <c r="E6" s="59"/>
      <c r="F6" s="59"/>
      <c r="G6" s="205"/>
      <c r="H6" s="205"/>
      <c r="I6" s="205"/>
      <c r="J6" s="205"/>
      <c r="K6" s="205"/>
      <c r="L6" s="60"/>
      <c r="M6" s="61"/>
      <c r="N6" s="62"/>
      <c r="O6" s="62"/>
      <c r="P6" s="62"/>
    </row>
    <row r="7" spans="1:20" ht="36.75" thickBot="1">
      <c r="B7" s="209" t="s">
        <v>3</v>
      </c>
      <c r="C7" s="206" t="s">
        <v>4</v>
      </c>
      <c r="D7" s="206" t="s">
        <v>5</v>
      </c>
      <c r="E7" s="211" t="s">
        <v>6</v>
      </c>
      <c r="F7" s="206" t="s">
        <v>7</v>
      </c>
      <c r="G7" s="206" t="s">
        <v>8</v>
      </c>
      <c r="H7" s="206" t="s">
        <v>14</v>
      </c>
      <c r="I7" s="206" t="s">
        <v>15</v>
      </c>
      <c r="J7" s="206" t="s">
        <v>16</v>
      </c>
      <c r="K7" s="206" t="s">
        <v>17</v>
      </c>
      <c r="L7" s="213" t="s">
        <v>9</v>
      </c>
      <c r="M7" s="64" t="s">
        <v>10</v>
      </c>
      <c r="N7" s="201" t="s">
        <v>18</v>
      </c>
      <c r="O7" s="203" t="s">
        <v>19</v>
      </c>
      <c r="P7" s="201" t="s">
        <v>20</v>
      </c>
    </row>
    <row r="8" spans="1:20" ht="69" customHeight="1" thickBot="1">
      <c r="B8" s="210"/>
      <c r="C8" s="207"/>
      <c r="D8" s="207"/>
      <c r="E8" s="212"/>
      <c r="F8" s="207"/>
      <c r="G8" s="207"/>
      <c r="H8" s="207"/>
      <c r="I8" s="207"/>
      <c r="J8" s="207"/>
      <c r="K8" s="207"/>
      <c r="L8" s="214"/>
      <c r="M8" s="65" t="s">
        <v>11</v>
      </c>
      <c r="N8" s="202"/>
      <c r="O8" s="204"/>
      <c r="P8" s="202"/>
    </row>
    <row r="9" spans="1:20" ht="21">
      <c r="B9" s="66"/>
      <c r="C9" s="176"/>
      <c r="D9" s="176"/>
      <c r="E9" s="66"/>
      <c r="F9" s="67"/>
      <c r="G9" s="67"/>
      <c r="H9" s="67"/>
      <c r="I9" s="67"/>
      <c r="J9" s="68"/>
      <c r="K9" s="69"/>
      <c r="L9" s="63" t="s">
        <v>12</v>
      </c>
      <c r="M9" s="70">
        <f>+M10+M325+M534</f>
        <v>10371253.699999999</v>
      </c>
      <c r="N9" s="71"/>
      <c r="O9" s="72"/>
      <c r="P9" s="72"/>
      <c r="R9" s="191"/>
      <c r="S9" s="194"/>
      <c r="T9" s="192"/>
    </row>
    <row r="10" spans="1:20" ht="18">
      <c r="B10" s="170">
        <v>2026</v>
      </c>
      <c r="C10" s="180">
        <v>21</v>
      </c>
      <c r="D10" s="181">
        <v>43</v>
      </c>
      <c r="E10" s="173">
        <v>1</v>
      </c>
      <c r="F10" s="73"/>
      <c r="G10" s="73"/>
      <c r="H10" s="73"/>
      <c r="I10" s="73"/>
      <c r="J10" s="74"/>
      <c r="K10" s="75"/>
      <c r="L10" s="76" t="s">
        <v>21</v>
      </c>
      <c r="M10" s="77">
        <f>+M11+M294</f>
        <v>101625</v>
      </c>
      <c r="N10" s="78"/>
      <c r="O10" s="79"/>
      <c r="P10" s="80"/>
    </row>
    <row r="11" spans="1:20" s="58" customFormat="1" ht="36">
      <c r="A11"/>
      <c r="B11" s="171">
        <v>2026</v>
      </c>
      <c r="C11" s="178">
        <v>21</v>
      </c>
      <c r="D11" s="179">
        <v>43</v>
      </c>
      <c r="E11" s="174">
        <v>1</v>
      </c>
      <c r="F11" s="81">
        <v>1</v>
      </c>
      <c r="G11" s="81"/>
      <c r="H11" s="81"/>
      <c r="I11" s="81"/>
      <c r="J11" s="81"/>
      <c r="K11" s="82"/>
      <c r="L11" s="83" t="s">
        <v>22</v>
      </c>
      <c r="M11" s="84">
        <f>M12+M24+M288</f>
        <v>101625</v>
      </c>
      <c r="N11" s="85"/>
      <c r="O11" s="86"/>
      <c r="P11" s="87"/>
    </row>
    <row r="12" spans="1:20" ht="18">
      <c r="B12" s="172">
        <v>2026</v>
      </c>
      <c r="C12" s="182">
        <v>21</v>
      </c>
      <c r="D12" s="183">
        <v>43</v>
      </c>
      <c r="E12" s="175">
        <v>1</v>
      </c>
      <c r="F12" s="88">
        <v>1</v>
      </c>
      <c r="G12" s="88">
        <v>1</v>
      </c>
      <c r="H12" s="88"/>
      <c r="I12" s="88"/>
      <c r="J12" s="89"/>
      <c r="K12" s="90"/>
      <c r="L12" s="91" t="s">
        <v>23</v>
      </c>
      <c r="M12" s="92">
        <f>+M13</f>
        <v>101625</v>
      </c>
      <c r="N12" s="93"/>
      <c r="O12" s="94"/>
      <c r="P12" s="95"/>
    </row>
    <row r="13" spans="1:20" ht="18">
      <c r="B13" s="96">
        <v>2026</v>
      </c>
      <c r="C13" s="96">
        <v>21</v>
      </c>
      <c r="D13" s="166">
        <v>43</v>
      </c>
      <c r="E13" s="96">
        <v>1</v>
      </c>
      <c r="F13" s="96">
        <v>1</v>
      </c>
      <c r="G13" s="96">
        <v>1</v>
      </c>
      <c r="H13" s="96">
        <v>3000</v>
      </c>
      <c r="I13" s="96"/>
      <c r="J13" s="96"/>
      <c r="K13" s="97"/>
      <c r="L13" s="98" t="s">
        <v>24</v>
      </c>
      <c r="M13" s="99">
        <f>+M14</f>
        <v>101625</v>
      </c>
      <c r="N13" s="100"/>
      <c r="O13" s="101"/>
      <c r="P13" s="102"/>
    </row>
    <row r="14" spans="1:20" ht="18">
      <c r="B14" s="103">
        <v>2026</v>
      </c>
      <c r="C14" s="103">
        <v>21</v>
      </c>
      <c r="D14" s="167">
        <v>43</v>
      </c>
      <c r="E14" s="103">
        <v>1</v>
      </c>
      <c r="F14" s="103">
        <v>1</v>
      </c>
      <c r="G14" s="103">
        <v>1</v>
      </c>
      <c r="H14" s="103">
        <v>3000</v>
      </c>
      <c r="I14" s="103">
        <v>3300</v>
      </c>
      <c r="J14" s="103"/>
      <c r="K14" s="104"/>
      <c r="L14" s="105" t="s">
        <v>25</v>
      </c>
      <c r="M14" s="106">
        <f>+M15+M19+M21</f>
        <v>101625</v>
      </c>
      <c r="N14" s="107"/>
      <c r="O14" s="108"/>
      <c r="P14" s="109"/>
    </row>
    <row r="15" spans="1:20" ht="18">
      <c r="B15" s="110">
        <v>2026</v>
      </c>
      <c r="C15" s="110">
        <v>21</v>
      </c>
      <c r="D15" s="168">
        <v>43</v>
      </c>
      <c r="E15" s="110">
        <v>1</v>
      </c>
      <c r="F15" s="110">
        <v>1</v>
      </c>
      <c r="G15" s="110">
        <v>1</v>
      </c>
      <c r="H15" s="110">
        <v>3000</v>
      </c>
      <c r="I15" s="110">
        <v>3300</v>
      </c>
      <c r="J15" s="110">
        <v>334</v>
      </c>
      <c r="K15" s="122"/>
      <c r="L15" s="123" t="s">
        <v>26</v>
      </c>
      <c r="M15" s="112">
        <f>SUM(M16:M18)</f>
        <v>101625</v>
      </c>
      <c r="N15" s="113"/>
      <c r="O15" s="114"/>
      <c r="P15" s="115"/>
    </row>
    <row r="16" spans="1:20" ht="18">
      <c r="B16" s="116">
        <v>2026</v>
      </c>
      <c r="C16" s="116">
        <v>21</v>
      </c>
      <c r="D16" s="169">
        <v>43</v>
      </c>
      <c r="E16" s="116">
        <v>1</v>
      </c>
      <c r="F16" s="116">
        <v>1</v>
      </c>
      <c r="G16" s="116">
        <v>1</v>
      </c>
      <c r="H16" s="116">
        <v>3000</v>
      </c>
      <c r="I16" s="116">
        <v>3300</v>
      </c>
      <c r="J16" s="116">
        <v>334</v>
      </c>
      <c r="K16" s="117">
        <v>460</v>
      </c>
      <c r="L16" s="118" t="s">
        <v>27</v>
      </c>
      <c r="M16" s="119">
        <v>101625</v>
      </c>
      <c r="N16" s="120" t="s">
        <v>28</v>
      </c>
      <c r="O16" s="121">
        <v>1</v>
      </c>
      <c r="P16" s="121"/>
      <c r="S16" s="193"/>
    </row>
    <row r="17" spans="2:16" ht="35.25" customHeight="1">
      <c r="B17" s="116">
        <v>2026</v>
      </c>
      <c r="C17" s="116">
        <v>21</v>
      </c>
      <c r="D17" s="169">
        <v>43</v>
      </c>
      <c r="E17" s="116">
        <v>1</v>
      </c>
      <c r="F17" s="116">
        <v>1</v>
      </c>
      <c r="G17" s="116">
        <v>1</v>
      </c>
      <c r="H17" s="116">
        <v>3000</v>
      </c>
      <c r="I17" s="116">
        <v>3300</v>
      </c>
      <c r="J17" s="116">
        <v>334</v>
      </c>
      <c r="K17" s="117">
        <v>459</v>
      </c>
      <c r="L17" s="118" t="s">
        <v>29</v>
      </c>
      <c r="M17" s="119"/>
      <c r="N17" s="120" t="s">
        <v>28</v>
      </c>
      <c r="O17" s="121"/>
      <c r="P17" s="121"/>
    </row>
    <row r="18" spans="2:16" ht="38.25" customHeight="1">
      <c r="B18" s="116">
        <v>2026</v>
      </c>
      <c r="C18" s="116">
        <v>21</v>
      </c>
      <c r="D18" s="169">
        <v>43</v>
      </c>
      <c r="E18" s="116">
        <v>1</v>
      </c>
      <c r="F18" s="116">
        <v>1</v>
      </c>
      <c r="G18" s="116">
        <v>1</v>
      </c>
      <c r="H18" s="116">
        <v>3000</v>
      </c>
      <c r="I18" s="116">
        <v>3300</v>
      </c>
      <c r="J18" s="116">
        <v>334</v>
      </c>
      <c r="K18" s="117">
        <v>457</v>
      </c>
      <c r="L18" s="118" t="s">
        <v>30</v>
      </c>
      <c r="M18" s="119"/>
      <c r="N18" s="120" t="s">
        <v>28</v>
      </c>
      <c r="O18" s="121"/>
      <c r="P18" s="121"/>
    </row>
    <row r="19" spans="2:16" ht="18">
      <c r="B19" s="110">
        <v>2026</v>
      </c>
      <c r="C19" s="110">
        <v>21</v>
      </c>
      <c r="D19" s="168">
        <v>43</v>
      </c>
      <c r="E19" s="110">
        <v>1</v>
      </c>
      <c r="F19" s="110">
        <v>1</v>
      </c>
      <c r="G19" s="110">
        <v>1</v>
      </c>
      <c r="H19" s="110">
        <v>3000</v>
      </c>
      <c r="I19" s="110">
        <v>3300</v>
      </c>
      <c r="J19" s="110">
        <v>336</v>
      </c>
      <c r="K19" s="111"/>
      <c r="L19" s="123" t="s">
        <v>31</v>
      </c>
      <c r="M19" s="112">
        <f>SUM(M20:M20)</f>
        <v>0</v>
      </c>
      <c r="N19" s="113"/>
      <c r="O19" s="114"/>
      <c r="P19" s="115"/>
    </row>
    <row r="20" spans="2:16" ht="18">
      <c r="B20" s="116">
        <v>2026</v>
      </c>
      <c r="C20" s="116">
        <v>21</v>
      </c>
      <c r="D20" s="169">
        <v>43</v>
      </c>
      <c r="E20" s="116">
        <v>1</v>
      </c>
      <c r="F20" s="116">
        <v>1</v>
      </c>
      <c r="G20" s="116">
        <v>1</v>
      </c>
      <c r="H20" s="116">
        <v>3000</v>
      </c>
      <c r="I20" s="116">
        <v>3300</v>
      </c>
      <c r="J20" s="116">
        <v>336</v>
      </c>
      <c r="K20" s="117">
        <v>660</v>
      </c>
      <c r="L20" s="118" t="s">
        <v>32</v>
      </c>
      <c r="M20" s="119"/>
      <c r="N20" s="120" t="s">
        <v>33</v>
      </c>
      <c r="O20" s="121"/>
      <c r="P20" s="121"/>
    </row>
    <row r="21" spans="2:16" ht="18">
      <c r="B21" s="110">
        <v>2026</v>
      </c>
      <c r="C21" s="110">
        <v>21</v>
      </c>
      <c r="D21" s="168">
        <v>43</v>
      </c>
      <c r="E21" s="110">
        <v>1</v>
      </c>
      <c r="F21" s="110">
        <v>1</v>
      </c>
      <c r="G21" s="110">
        <v>1</v>
      </c>
      <c r="H21" s="110">
        <v>3000</v>
      </c>
      <c r="I21" s="110">
        <v>3300</v>
      </c>
      <c r="J21" s="110">
        <v>339</v>
      </c>
      <c r="K21" s="111"/>
      <c r="L21" s="123" t="s">
        <v>34</v>
      </c>
      <c r="M21" s="112">
        <f>SUM(M22:M23)</f>
        <v>0</v>
      </c>
      <c r="N21" s="124"/>
      <c r="O21" s="125"/>
      <c r="P21" s="125"/>
    </row>
    <row r="22" spans="2:16" ht="36">
      <c r="B22" s="116">
        <v>2026</v>
      </c>
      <c r="C22" s="116">
        <v>21</v>
      </c>
      <c r="D22" s="169">
        <v>43</v>
      </c>
      <c r="E22" s="116">
        <v>1</v>
      </c>
      <c r="F22" s="116">
        <v>1</v>
      </c>
      <c r="G22" s="116">
        <v>1</v>
      </c>
      <c r="H22" s="116">
        <v>3000</v>
      </c>
      <c r="I22" s="116">
        <v>3300</v>
      </c>
      <c r="J22" s="116">
        <v>339</v>
      </c>
      <c r="K22" s="117">
        <v>1404</v>
      </c>
      <c r="L22" s="118" t="s">
        <v>35</v>
      </c>
      <c r="M22" s="119"/>
      <c r="N22" s="120" t="s">
        <v>33</v>
      </c>
      <c r="O22" s="121"/>
      <c r="P22" s="121"/>
    </row>
    <row r="23" spans="2:16" ht="36">
      <c r="B23" s="116">
        <v>2026</v>
      </c>
      <c r="C23" s="116">
        <v>21</v>
      </c>
      <c r="D23" s="169">
        <v>43</v>
      </c>
      <c r="E23" s="116">
        <v>1</v>
      </c>
      <c r="F23" s="116">
        <v>1</v>
      </c>
      <c r="G23" s="116">
        <v>1</v>
      </c>
      <c r="H23" s="116">
        <v>3000</v>
      </c>
      <c r="I23" s="116">
        <v>3300</v>
      </c>
      <c r="J23" s="116">
        <v>339</v>
      </c>
      <c r="K23" s="117">
        <v>1400</v>
      </c>
      <c r="L23" s="118" t="s">
        <v>36</v>
      </c>
      <c r="M23" s="119"/>
      <c r="N23" s="120" t="s">
        <v>33</v>
      </c>
      <c r="O23" s="121"/>
      <c r="P23" s="121"/>
    </row>
    <row r="24" spans="2:16" ht="36">
      <c r="B24" s="88">
        <v>2026</v>
      </c>
      <c r="C24" s="88">
        <v>21</v>
      </c>
      <c r="D24" s="165">
        <v>43</v>
      </c>
      <c r="E24" s="88">
        <v>1</v>
      </c>
      <c r="F24" s="88">
        <v>1</v>
      </c>
      <c r="G24" s="88">
        <v>2</v>
      </c>
      <c r="H24" s="88"/>
      <c r="I24" s="88"/>
      <c r="J24" s="89"/>
      <c r="K24" s="90"/>
      <c r="L24" s="91" t="s">
        <v>37</v>
      </c>
      <c r="M24" s="92">
        <f>+M25+M133+M145</f>
        <v>0</v>
      </c>
      <c r="N24" s="93"/>
      <c r="O24" s="94"/>
      <c r="P24" s="95"/>
    </row>
    <row r="25" spans="2:16" ht="18">
      <c r="B25" s="96">
        <v>2026</v>
      </c>
      <c r="C25" s="96">
        <v>21</v>
      </c>
      <c r="D25" s="166">
        <v>43</v>
      </c>
      <c r="E25" s="96">
        <v>1</v>
      </c>
      <c r="F25" s="96">
        <v>1</v>
      </c>
      <c r="G25" s="96">
        <v>2</v>
      </c>
      <c r="H25" s="96">
        <v>2000</v>
      </c>
      <c r="I25" s="96"/>
      <c r="J25" s="96"/>
      <c r="K25" s="126"/>
      <c r="L25" s="98" t="s">
        <v>38</v>
      </c>
      <c r="M25" s="99">
        <f>+M26+M37+M40+M77</f>
        <v>0</v>
      </c>
      <c r="N25" s="100"/>
      <c r="O25" s="101"/>
      <c r="P25" s="102"/>
    </row>
    <row r="26" spans="2:16" ht="18">
      <c r="B26" s="103">
        <v>2026</v>
      </c>
      <c r="C26" s="103">
        <v>21</v>
      </c>
      <c r="D26" s="167">
        <v>43</v>
      </c>
      <c r="E26" s="103">
        <v>1</v>
      </c>
      <c r="F26" s="103">
        <v>1</v>
      </c>
      <c r="G26" s="103">
        <v>2</v>
      </c>
      <c r="H26" s="103">
        <v>2000</v>
      </c>
      <c r="I26" s="103">
        <v>2100</v>
      </c>
      <c r="J26" s="103"/>
      <c r="K26" s="104"/>
      <c r="L26" s="105" t="s">
        <v>39</v>
      </c>
      <c r="M26" s="106">
        <f>+M27+M29+M31+M33+M35</f>
        <v>0</v>
      </c>
      <c r="N26" s="107"/>
      <c r="O26" s="108"/>
      <c r="P26" s="109"/>
    </row>
    <row r="27" spans="2:16" ht="18">
      <c r="B27" s="110">
        <v>2026</v>
      </c>
      <c r="C27" s="110">
        <v>21</v>
      </c>
      <c r="D27" s="168">
        <v>43</v>
      </c>
      <c r="E27" s="110">
        <v>1</v>
      </c>
      <c r="F27" s="110">
        <v>1</v>
      </c>
      <c r="G27" s="110">
        <v>2</v>
      </c>
      <c r="H27" s="110">
        <v>2000</v>
      </c>
      <c r="I27" s="110">
        <v>2100</v>
      </c>
      <c r="J27" s="110">
        <v>211</v>
      </c>
      <c r="K27" s="111"/>
      <c r="L27" s="123" t="s">
        <v>40</v>
      </c>
      <c r="M27" s="112">
        <f>SUM(M28)</f>
        <v>0</v>
      </c>
      <c r="N27" s="113"/>
      <c r="O27" s="114"/>
      <c r="P27" s="115"/>
    </row>
    <row r="28" spans="2:16" ht="18">
      <c r="B28" s="116">
        <v>2026</v>
      </c>
      <c r="C28" s="116">
        <v>21</v>
      </c>
      <c r="D28" s="169">
        <v>43</v>
      </c>
      <c r="E28" s="116">
        <v>1</v>
      </c>
      <c r="F28" s="116">
        <v>1</v>
      </c>
      <c r="G28" s="116">
        <v>2</v>
      </c>
      <c r="H28" s="116">
        <v>2000</v>
      </c>
      <c r="I28" s="116">
        <v>2100</v>
      </c>
      <c r="J28" s="116">
        <v>211</v>
      </c>
      <c r="K28" s="117">
        <v>915</v>
      </c>
      <c r="L28" s="118" t="s">
        <v>41</v>
      </c>
      <c r="M28" s="119"/>
      <c r="N28" s="120" t="s">
        <v>42</v>
      </c>
      <c r="O28" s="121"/>
      <c r="P28" s="121"/>
    </row>
    <row r="29" spans="2:16" ht="18">
      <c r="B29" s="110">
        <v>2026</v>
      </c>
      <c r="C29" s="110">
        <v>21</v>
      </c>
      <c r="D29" s="168">
        <v>43</v>
      </c>
      <c r="E29" s="110">
        <v>1</v>
      </c>
      <c r="F29" s="110">
        <v>1</v>
      </c>
      <c r="G29" s="110">
        <v>2</v>
      </c>
      <c r="H29" s="110">
        <v>2000</v>
      </c>
      <c r="I29" s="110">
        <v>2100</v>
      </c>
      <c r="J29" s="110">
        <v>212</v>
      </c>
      <c r="K29" s="110"/>
      <c r="L29" s="123" t="s">
        <v>43</v>
      </c>
      <c r="M29" s="112">
        <f>SUM(M30)</f>
        <v>0</v>
      </c>
      <c r="N29" s="113"/>
      <c r="O29" s="113"/>
      <c r="P29" s="113"/>
    </row>
    <row r="30" spans="2:16" ht="18">
      <c r="B30" s="116">
        <v>2026</v>
      </c>
      <c r="C30" s="116">
        <v>21</v>
      </c>
      <c r="D30" s="169">
        <v>43</v>
      </c>
      <c r="E30" s="116">
        <v>1</v>
      </c>
      <c r="F30" s="116">
        <v>1</v>
      </c>
      <c r="G30" s="116">
        <v>2</v>
      </c>
      <c r="H30" s="116">
        <v>2000</v>
      </c>
      <c r="I30" s="116">
        <v>2100</v>
      </c>
      <c r="J30" s="116">
        <v>212</v>
      </c>
      <c r="K30" s="117">
        <v>914</v>
      </c>
      <c r="L30" s="118" t="s">
        <v>43</v>
      </c>
      <c r="M30" s="119"/>
      <c r="N30" s="120" t="s">
        <v>44</v>
      </c>
      <c r="O30" s="120"/>
      <c r="P30" s="120"/>
    </row>
    <row r="31" spans="2:16" ht="36">
      <c r="B31" s="110">
        <v>2026</v>
      </c>
      <c r="C31" s="110">
        <v>21</v>
      </c>
      <c r="D31" s="168">
        <v>43</v>
      </c>
      <c r="E31" s="110">
        <v>1</v>
      </c>
      <c r="F31" s="110">
        <v>1</v>
      </c>
      <c r="G31" s="110">
        <v>2</v>
      </c>
      <c r="H31" s="110">
        <v>2000</v>
      </c>
      <c r="I31" s="110">
        <v>2100</v>
      </c>
      <c r="J31" s="110">
        <v>214</v>
      </c>
      <c r="K31" s="111"/>
      <c r="L31" s="123" t="s">
        <v>45</v>
      </c>
      <c r="M31" s="112">
        <f>SUM(M32)</f>
        <v>0</v>
      </c>
      <c r="N31" s="113"/>
      <c r="O31" s="114"/>
      <c r="P31" s="115"/>
    </row>
    <row r="32" spans="2:16" ht="18">
      <c r="B32" s="116">
        <v>2026</v>
      </c>
      <c r="C32" s="116">
        <v>21</v>
      </c>
      <c r="D32" s="169">
        <v>43</v>
      </c>
      <c r="E32" s="116">
        <v>1</v>
      </c>
      <c r="F32" s="116">
        <v>1</v>
      </c>
      <c r="G32" s="116">
        <v>2</v>
      </c>
      <c r="H32" s="116">
        <v>2000</v>
      </c>
      <c r="I32" s="116">
        <v>2100</v>
      </c>
      <c r="J32" s="116">
        <v>214</v>
      </c>
      <c r="K32" s="117">
        <v>916</v>
      </c>
      <c r="L32" s="118" t="s">
        <v>46</v>
      </c>
      <c r="M32" s="119"/>
      <c r="N32" s="120" t="s">
        <v>44</v>
      </c>
      <c r="O32" s="121"/>
      <c r="P32" s="121"/>
    </row>
    <row r="33" spans="2:16" ht="18">
      <c r="B33" s="110">
        <v>2026</v>
      </c>
      <c r="C33" s="110">
        <v>21</v>
      </c>
      <c r="D33" s="168">
        <v>43</v>
      </c>
      <c r="E33" s="110">
        <v>1</v>
      </c>
      <c r="F33" s="110">
        <v>1</v>
      </c>
      <c r="G33" s="110">
        <v>2</v>
      </c>
      <c r="H33" s="110">
        <v>2000</v>
      </c>
      <c r="I33" s="110">
        <v>2100</v>
      </c>
      <c r="J33" s="110">
        <v>216</v>
      </c>
      <c r="K33" s="110"/>
      <c r="L33" s="123" t="s">
        <v>47</v>
      </c>
      <c r="M33" s="112">
        <f>SUM(M34)</f>
        <v>0</v>
      </c>
      <c r="N33" s="113"/>
      <c r="O33" s="113"/>
      <c r="P33" s="113"/>
    </row>
    <row r="34" spans="2:16" ht="18">
      <c r="B34" s="116">
        <v>2026</v>
      </c>
      <c r="C34" s="116">
        <v>21</v>
      </c>
      <c r="D34" s="169">
        <v>43</v>
      </c>
      <c r="E34" s="116">
        <v>1</v>
      </c>
      <c r="F34" s="116">
        <v>1</v>
      </c>
      <c r="G34" s="116">
        <v>2</v>
      </c>
      <c r="H34" s="116">
        <v>2000</v>
      </c>
      <c r="I34" s="116">
        <v>2100</v>
      </c>
      <c r="J34" s="116">
        <v>216</v>
      </c>
      <c r="K34" s="117">
        <v>907</v>
      </c>
      <c r="L34" s="118" t="s">
        <v>47</v>
      </c>
      <c r="M34" s="119"/>
      <c r="N34" s="120" t="s">
        <v>44</v>
      </c>
      <c r="O34" s="120"/>
      <c r="P34" s="120"/>
    </row>
    <row r="35" spans="2:16" ht="18">
      <c r="B35" s="110">
        <v>2026</v>
      </c>
      <c r="C35" s="110">
        <v>21</v>
      </c>
      <c r="D35" s="168">
        <v>43</v>
      </c>
      <c r="E35" s="110">
        <v>1</v>
      </c>
      <c r="F35" s="110">
        <v>1</v>
      </c>
      <c r="G35" s="110">
        <v>2</v>
      </c>
      <c r="H35" s="110">
        <v>2000</v>
      </c>
      <c r="I35" s="110">
        <v>2100</v>
      </c>
      <c r="J35" s="110">
        <v>217</v>
      </c>
      <c r="K35" s="110"/>
      <c r="L35" s="123" t="s">
        <v>48</v>
      </c>
      <c r="M35" s="112">
        <f>SUM(M36)</f>
        <v>0</v>
      </c>
      <c r="N35" s="113"/>
      <c r="O35" s="113"/>
      <c r="P35" s="113"/>
    </row>
    <row r="36" spans="2:16" ht="18">
      <c r="B36" s="116">
        <v>2026</v>
      </c>
      <c r="C36" s="116">
        <v>21</v>
      </c>
      <c r="D36" s="169">
        <v>43</v>
      </c>
      <c r="E36" s="116">
        <v>1</v>
      </c>
      <c r="F36" s="116">
        <v>1</v>
      </c>
      <c r="G36" s="116">
        <v>2</v>
      </c>
      <c r="H36" s="116">
        <v>2000</v>
      </c>
      <c r="I36" s="116">
        <v>2100</v>
      </c>
      <c r="J36" s="116">
        <v>217</v>
      </c>
      <c r="K36" s="117">
        <v>913</v>
      </c>
      <c r="L36" s="118" t="s">
        <v>49</v>
      </c>
      <c r="M36" s="119"/>
      <c r="N36" s="120" t="s">
        <v>44</v>
      </c>
      <c r="O36" s="120"/>
      <c r="P36" s="120"/>
    </row>
    <row r="37" spans="2:16" ht="18">
      <c r="B37" s="103">
        <v>2026</v>
      </c>
      <c r="C37" s="103">
        <v>21</v>
      </c>
      <c r="D37" s="167">
        <v>43</v>
      </c>
      <c r="E37" s="103">
        <v>1</v>
      </c>
      <c r="F37" s="103">
        <v>1</v>
      </c>
      <c r="G37" s="103">
        <v>2</v>
      </c>
      <c r="H37" s="103">
        <v>2000</v>
      </c>
      <c r="I37" s="103">
        <v>2600</v>
      </c>
      <c r="J37" s="103"/>
      <c r="K37" s="104"/>
      <c r="L37" s="105" t="s">
        <v>50</v>
      </c>
      <c r="M37" s="106">
        <f>M38</f>
        <v>0</v>
      </c>
      <c r="N37" s="107"/>
      <c r="O37" s="108"/>
      <c r="P37" s="109"/>
    </row>
    <row r="38" spans="2:16" ht="18">
      <c r="B38" s="110">
        <v>2026</v>
      </c>
      <c r="C38" s="110">
        <v>21</v>
      </c>
      <c r="D38" s="168">
        <v>43</v>
      </c>
      <c r="E38" s="110">
        <v>1</v>
      </c>
      <c r="F38" s="110">
        <v>1</v>
      </c>
      <c r="G38" s="110">
        <v>2</v>
      </c>
      <c r="H38" s="110">
        <v>2000</v>
      </c>
      <c r="I38" s="110">
        <v>2600</v>
      </c>
      <c r="J38" s="110">
        <v>261</v>
      </c>
      <c r="K38" s="111"/>
      <c r="L38" s="123" t="s">
        <v>50</v>
      </c>
      <c r="M38" s="112">
        <f>M39</f>
        <v>0</v>
      </c>
      <c r="N38" s="113"/>
      <c r="O38" s="114"/>
      <c r="P38" s="115"/>
    </row>
    <row r="39" spans="2:16" ht="18">
      <c r="B39" s="116">
        <v>2026</v>
      </c>
      <c r="C39" s="116">
        <v>21</v>
      </c>
      <c r="D39" s="169">
        <v>43</v>
      </c>
      <c r="E39" s="116">
        <v>1</v>
      </c>
      <c r="F39" s="116">
        <v>1</v>
      </c>
      <c r="G39" s="116">
        <v>2</v>
      </c>
      <c r="H39" s="116">
        <v>2000</v>
      </c>
      <c r="I39" s="116">
        <v>2600</v>
      </c>
      <c r="J39" s="116">
        <v>261</v>
      </c>
      <c r="K39" s="117">
        <v>700</v>
      </c>
      <c r="L39" s="118" t="s">
        <v>51</v>
      </c>
      <c r="M39" s="119"/>
      <c r="N39" s="120" t="s">
        <v>52</v>
      </c>
      <c r="O39" s="121"/>
      <c r="P39" s="121"/>
    </row>
    <row r="40" spans="2:16" ht="18">
      <c r="B40" s="103">
        <v>2026</v>
      </c>
      <c r="C40" s="103">
        <v>21</v>
      </c>
      <c r="D40" s="167">
        <v>43</v>
      </c>
      <c r="E40" s="103">
        <v>1</v>
      </c>
      <c r="F40" s="103">
        <v>1</v>
      </c>
      <c r="G40" s="103">
        <v>2</v>
      </c>
      <c r="H40" s="103">
        <v>2000</v>
      </c>
      <c r="I40" s="103">
        <v>2700</v>
      </c>
      <c r="J40" s="103"/>
      <c r="K40" s="104"/>
      <c r="L40" s="105" t="s">
        <v>53</v>
      </c>
      <c r="M40" s="106">
        <f>+M41+M67+M69</f>
        <v>0</v>
      </c>
      <c r="N40" s="107"/>
      <c r="O40" s="108"/>
      <c r="P40" s="109"/>
    </row>
    <row r="41" spans="2:16" ht="18">
      <c r="B41" s="110">
        <v>2026</v>
      </c>
      <c r="C41" s="110">
        <v>21</v>
      </c>
      <c r="D41" s="168">
        <v>43</v>
      </c>
      <c r="E41" s="110">
        <v>1</v>
      </c>
      <c r="F41" s="110">
        <v>1</v>
      </c>
      <c r="G41" s="110">
        <v>2</v>
      </c>
      <c r="H41" s="110">
        <v>2000</v>
      </c>
      <c r="I41" s="110">
        <v>2700</v>
      </c>
      <c r="J41" s="110">
        <v>271</v>
      </c>
      <c r="K41" s="111"/>
      <c r="L41" s="123" t="s">
        <v>54</v>
      </c>
      <c r="M41" s="112">
        <f>SUBTOTAL(9,M42:M66)</f>
        <v>0</v>
      </c>
      <c r="N41" s="113"/>
      <c r="O41" s="114"/>
      <c r="P41" s="115"/>
    </row>
    <row r="42" spans="2:16" ht="18">
      <c r="B42" s="116">
        <v>2026</v>
      </c>
      <c r="C42" s="116">
        <v>21</v>
      </c>
      <c r="D42" s="169">
        <v>43</v>
      </c>
      <c r="E42" s="116">
        <v>1</v>
      </c>
      <c r="F42" s="116">
        <v>1</v>
      </c>
      <c r="G42" s="116">
        <v>2</v>
      </c>
      <c r="H42" s="116">
        <v>2000</v>
      </c>
      <c r="I42" s="116">
        <v>2700</v>
      </c>
      <c r="J42" s="116">
        <v>271</v>
      </c>
      <c r="K42" s="117">
        <v>154</v>
      </c>
      <c r="L42" s="118" t="s">
        <v>55</v>
      </c>
      <c r="M42" s="119"/>
      <c r="N42" s="120" t="s">
        <v>56</v>
      </c>
      <c r="O42" s="120"/>
      <c r="P42" s="120"/>
    </row>
    <row r="43" spans="2:16" ht="18">
      <c r="B43" s="116">
        <v>2026</v>
      </c>
      <c r="C43" s="116">
        <v>21</v>
      </c>
      <c r="D43" s="169">
        <v>43</v>
      </c>
      <c r="E43" s="116">
        <v>1</v>
      </c>
      <c r="F43" s="116">
        <v>1</v>
      </c>
      <c r="G43" s="116">
        <v>2</v>
      </c>
      <c r="H43" s="116">
        <v>2000</v>
      </c>
      <c r="I43" s="116">
        <v>2700</v>
      </c>
      <c r="J43" s="116">
        <v>271</v>
      </c>
      <c r="K43" s="117">
        <v>160</v>
      </c>
      <c r="L43" s="118" t="s">
        <v>57</v>
      </c>
      <c r="M43" s="119"/>
      <c r="N43" s="120" t="s">
        <v>58</v>
      </c>
      <c r="O43" s="120"/>
      <c r="P43" s="120"/>
    </row>
    <row r="44" spans="2:16" ht="18">
      <c r="B44" s="116">
        <v>2026</v>
      </c>
      <c r="C44" s="116">
        <v>21</v>
      </c>
      <c r="D44" s="169">
        <v>43</v>
      </c>
      <c r="E44" s="116">
        <v>1</v>
      </c>
      <c r="F44" s="116">
        <v>1</v>
      </c>
      <c r="G44" s="116">
        <v>2</v>
      </c>
      <c r="H44" s="116">
        <v>2000</v>
      </c>
      <c r="I44" s="116">
        <v>2700</v>
      </c>
      <c r="J44" s="116">
        <v>271</v>
      </c>
      <c r="K44" s="117">
        <v>224</v>
      </c>
      <c r="L44" s="118" t="s">
        <v>59</v>
      </c>
      <c r="M44" s="119"/>
      <c r="N44" s="120" t="s">
        <v>56</v>
      </c>
      <c r="O44" s="120"/>
      <c r="P44" s="120"/>
    </row>
    <row r="45" spans="2:16" ht="18">
      <c r="B45" s="116">
        <v>2026</v>
      </c>
      <c r="C45" s="116">
        <v>21</v>
      </c>
      <c r="D45" s="169">
        <v>43</v>
      </c>
      <c r="E45" s="116">
        <v>1</v>
      </c>
      <c r="F45" s="116">
        <v>1</v>
      </c>
      <c r="G45" s="116">
        <v>2</v>
      </c>
      <c r="H45" s="116">
        <v>2000</v>
      </c>
      <c r="I45" s="116">
        <v>2700</v>
      </c>
      <c r="J45" s="116">
        <v>271</v>
      </c>
      <c r="K45" s="117">
        <v>228</v>
      </c>
      <c r="L45" s="118" t="s">
        <v>60</v>
      </c>
      <c r="M45" s="119"/>
      <c r="N45" s="120" t="s">
        <v>56</v>
      </c>
      <c r="O45" s="120"/>
      <c r="P45" s="120"/>
    </row>
    <row r="46" spans="2:16" ht="18">
      <c r="B46" s="116">
        <v>2026</v>
      </c>
      <c r="C46" s="116">
        <v>21</v>
      </c>
      <c r="D46" s="169">
        <v>43</v>
      </c>
      <c r="E46" s="116">
        <v>1</v>
      </c>
      <c r="F46" s="116">
        <v>1</v>
      </c>
      <c r="G46" s="116">
        <v>2</v>
      </c>
      <c r="H46" s="116">
        <v>2000</v>
      </c>
      <c r="I46" s="116">
        <v>2700</v>
      </c>
      <c r="J46" s="116">
        <v>271</v>
      </c>
      <c r="K46" s="117">
        <v>319</v>
      </c>
      <c r="L46" s="118" t="s">
        <v>61</v>
      </c>
      <c r="M46" s="119"/>
      <c r="N46" s="120" t="s">
        <v>56</v>
      </c>
      <c r="O46" s="120"/>
      <c r="P46" s="120"/>
    </row>
    <row r="47" spans="2:16" ht="18">
      <c r="B47" s="116">
        <v>2026</v>
      </c>
      <c r="C47" s="116">
        <v>21</v>
      </c>
      <c r="D47" s="169">
        <v>43</v>
      </c>
      <c r="E47" s="116">
        <v>1</v>
      </c>
      <c r="F47" s="116">
        <v>1</v>
      </c>
      <c r="G47" s="116">
        <v>2</v>
      </c>
      <c r="H47" s="116">
        <v>2000</v>
      </c>
      <c r="I47" s="116">
        <v>2700</v>
      </c>
      <c r="J47" s="116">
        <v>271</v>
      </c>
      <c r="K47" s="117">
        <v>324</v>
      </c>
      <c r="L47" s="118" t="s">
        <v>62</v>
      </c>
      <c r="M47" s="119"/>
      <c r="N47" s="120" t="s">
        <v>56</v>
      </c>
      <c r="O47" s="120"/>
      <c r="P47" s="120"/>
    </row>
    <row r="48" spans="2:16" ht="18">
      <c r="B48" s="116">
        <v>2026</v>
      </c>
      <c r="C48" s="116">
        <v>21</v>
      </c>
      <c r="D48" s="169">
        <v>43</v>
      </c>
      <c r="E48" s="116">
        <v>1</v>
      </c>
      <c r="F48" s="116">
        <v>1</v>
      </c>
      <c r="G48" s="116">
        <v>2</v>
      </c>
      <c r="H48" s="116">
        <v>2000</v>
      </c>
      <c r="I48" s="116">
        <v>2700</v>
      </c>
      <c r="J48" s="116">
        <v>271</v>
      </c>
      <c r="K48" s="117">
        <v>333</v>
      </c>
      <c r="L48" s="118" t="s">
        <v>63</v>
      </c>
      <c r="M48" s="119"/>
      <c r="N48" s="120" t="s">
        <v>56</v>
      </c>
      <c r="O48" s="120"/>
      <c r="P48" s="120"/>
    </row>
    <row r="49" spans="2:16" ht="18">
      <c r="B49" s="116">
        <v>2026</v>
      </c>
      <c r="C49" s="116">
        <v>21</v>
      </c>
      <c r="D49" s="169">
        <v>43</v>
      </c>
      <c r="E49" s="116">
        <v>1</v>
      </c>
      <c r="F49" s="116">
        <v>1</v>
      </c>
      <c r="G49" s="116">
        <v>2</v>
      </c>
      <c r="H49" s="116">
        <v>2000</v>
      </c>
      <c r="I49" s="116">
        <v>2700</v>
      </c>
      <c r="J49" s="116">
        <v>271</v>
      </c>
      <c r="K49" s="117">
        <v>406</v>
      </c>
      <c r="L49" s="118" t="s">
        <v>64</v>
      </c>
      <c r="M49" s="119"/>
      <c r="N49" s="120" t="s">
        <v>56</v>
      </c>
      <c r="O49" s="120"/>
      <c r="P49" s="120"/>
    </row>
    <row r="50" spans="2:16" ht="18">
      <c r="B50" s="116">
        <v>2026</v>
      </c>
      <c r="C50" s="116">
        <v>21</v>
      </c>
      <c r="D50" s="169">
        <v>43</v>
      </c>
      <c r="E50" s="116">
        <v>1</v>
      </c>
      <c r="F50" s="116">
        <v>1</v>
      </c>
      <c r="G50" s="116">
        <v>2</v>
      </c>
      <c r="H50" s="116">
        <v>2000</v>
      </c>
      <c r="I50" s="116">
        <v>2700</v>
      </c>
      <c r="J50" s="116">
        <v>271</v>
      </c>
      <c r="K50" s="117">
        <v>716</v>
      </c>
      <c r="L50" s="118" t="s">
        <v>65</v>
      </c>
      <c r="M50" s="119"/>
      <c r="N50" s="120" t="s">
        <v>56</v>
      </c>
      <c r="O50" s="120"/>
      <c r="P50" s="120"/>
    </row>
    <row r="51" spans="2:16" ht="18">
      <c r="B51" s="116">
        <v>2026</v>
      </c>
      <c r="C51" s="116">
        <v>21</v>
      </c>
      <c r="D51" s="169">
        <v>43</v>
      </c>
      <c r="E51" s="116">
        <v>1</v>
      </c>
      <c r="F51" s="116">
        <v>1</v>
      </c>
      <c r="G51" s="116">
        <v>2</v>
      </c>
      <c r="H51" s="116">
        <v>2000</v>
      </c>
      <c r="I51" s="116">
        <v>2700</v>
      </c>
      <c r="J51" s="116">
        <v>271</v>
      </c>
      <c r="K51" s="117">
        <v>775</v>
      </c>
      <c r="L51" s="118" t="s">
        <v>66</v>
      </c>
      <c r="M51" s="119"/>
      <c r="N51" s="120" t="s">
        <v>56</v>
      </c>
      <c r="O51" s="120"/>
      <c r="P51" s="120"/>
    </row>
    <row r="52" spans="2:16" ht="18">
      <c r="B52" s="116">
        <v>2026</v>
      </c>
      <c r="C52" s="116">
        <v>21</v>
      </c>
      <c r="D52" s="169">
        <v>43</v>
      </c>
      <c r="E52" s="116">
        <v>1</v>
      </c>
      <c r="F52" s="116">
        <v>1</v>
      </c>
      <c r="G52" s="116">
        <v>2</v>
      </c>
      <c r="H52" s="116">
        <v>2000</v>
      </c>
      <c r="I52" s="116">
        <v>2700</v>
      </c>
      <c r="J52" s="116">
        <v>271</v>
      </c>
      <c r="K52" s="117">
        <v>789</v>
      </c>
      <c r="L52" s="118" t="s">
        <v>67</v>
      </c>
      <c r="M52" s="119"/>
      <c r="N52" s="120" t="s">
        <v>56</v>
      </c>
      <c r="O52" s="120"/>
      <c r="P52" s="120"/>
    </row>
    <row r="53" spans="2:16" ht="18">
      <c r="B53" s="116">
        <v>2026</v>
      </c>
      <c r="C53" s="116">
        <v>21</v>
      </c>
      <c r="D53" s="169">
        <v>43</v>
      </c>
      <c r="E53" s="116">
        <v>1</v>
      </c>
      <c r="F53" s="116">
        <v>1</v>
      </c>
      <c r="G53" s="116">
        <v>2</v>
      </c>
      <c r="H53" s="116">
        <v>2000</v>
      </c>
      <c r="I53" s="116">
        <v>2700</v>
      </c>
      <c r="J53" s="116">
        <v>271</v>
      </c>
      <c r="K53" s="117">
        <v>1049</v>
      </c>
      <c r="L53" s="118" t="s">
        <v>68</v>
      </c>
      <c r="M53" s="119"/>
      <c r="N53" s="120" t="s">
        <v>56</v>
      </c>
      <c r="O53" s="120"/>
      <c r="P53" s="120"/>
    </row>
    <row r="54" spans="2:16" ht="18">
      <c r="B54" s="116">
        <v>2026</v>
      </c>
      <c r="C54" s="116">
        <v>21</v>
      </c>
      <c r="D54" s="169">
        <v>43</v>
      </c>
      <c r="E54" s="116">
        <v>1</v>
      </c>
      <c r="F54" s="116">
        <v>1</v>
      </c>
      <c r="G54" s="116">
        <v>2</v>
      </c>
      <c r="H54" s="116">
        <v>2000</v>
      </c>
      <c r="I54" s="116">
        <v>2700</v>
      </c>
      <c r="J54" s="116">
        <v>271</v>
      </c>
      <c r="K54" s="117">
        <v>1053</v>
      </c>
      <c r="L54" s="118" t="s">
        <v>69</v>
      </c>
      <c r="M54" s="119"/>
      <c r="N54" s="120" t="s">
        <v>70</v>
      </c>
      <c r="O54" s="120"/>
      <c r="P54" s="120"/>
    </row>
    <row r="55" spans="2:16" ht="18">
      <c r="B55" s="116">
        <v>2026</v>
      </c>
      <c r="C55" s="116">
        <v>21</v>
      </c>
      <c r="D55" s="169">
        <v>43</v>
      </c>
      <c r="E55" s="116">
        <v>1</v>
      </c>
      <c r="F55" s="116">
        <v>1</v>
      </c>
      <c r="G55" s="116">
        <v>2</v>
      </c>
      <c r="H55" s="116">
        <v>2000</v>
      </c>
      <c r="I55" s="116">
        <v>2700</v>
      </c>
      <c r="J55" s="116">
        <v>271</v>
      </c>
      <c r="K55" s="117">
        <v>1055</v>
      </c>
      <c r="L55" s="118" t="s">
        <v>71</v>
      </c>
      <c r="M55" s="119"/>
      <c r="N55" s="120" t="s">
        <v>56</v>
      </c>
      <c r="O55" s="120"/>
      <c r="P55" s="120"/>
    </row>
    <row r="56" spans="2:16" ht="18">
      <c r="B56" s="116">
        <v>2026</v>
      </c>
      <c r="C56" s="116">
        <v>21</v>
      </c>
      <c r="D56" s="169">
        <v>43</v>
      </c>
      <c r="E56" s="116">
        <v>1</v>
      </c>
      <c r="F56" s="116">
        <v>1</v>
      </c>
      <c r="G56" s="116">
        <v>2</v>
      </c>
      <c r="H56" s="116">
        <v>2000</v>
      </c>
      <c r="I56" s="116">
        <v>2700</v>
      </c>
      <c r="J56" s="116">
        <v>271</v>
      </c>
      <c r="K56" s="117">
        <v>1094</v>
      </c>
      <c r="L56" s="118" t="s">
        <v>72</v>
      </c>
      <c r="M56" s="119"/>
      <c r="N56" s="120" t="s">
        <v>56</v>
      </c>
      <c r="O56" s="120"/>
      <c r="P56" s="120"/>
    </row>
    <row r="57" spans="2:16" ht="18">
      <c r="B57" s="116">
        <v>2026</v>
      </c>
      <c r="C57" s="116">
        <v>21</v>
      </c>
      <c r="D57" s="169">
        <v>43</v>
      </c>
      <c r="E57" s="116">
        <v>1</v>
      </c>
      <c r="F57" s="116">
        <v>1</v>
      </c>
      <c r="G57" s="116">
        <v>2</v>
      </c>
      <c r="H57" s="116">
        <v>2000</v>
      </c>
      <c r="I57" s="116">
        <v>2700</v>
      </c>
      <c r="J57" s="116">
        <v>271</v>
      </c>
      <c r="K57" s="117">
        <v>1113</v>
      </c>
      <c r="L57" s="118" t="s">
        <v>73</v>
      </c>
      <c r="M57" s="119"/>
      <c r="N57" s="120" t="s">
        <v>56</v>
      </c>
      <c r="O57" s="120"/>
      <c r="P57" s="120"/>
    </row>
    <row r="58" spans="2:16" ht="18">
      <c r="B58" s="116">
        <v>2026</v>
      </c>
      <c r="C58" s="116">
        <v>21</v>
      </c>
      <c r="D58" s="169">
        <v>43</v>
      </c>
      <c r="E58" s="116">
        <v>1</v>
      </c>
      <c r="F58" s="116">
        <v>1</v>
      </c>
      <c r="G58" s="116">
        <v>2</v>
      </c>
      <c r="H58" s="116">
        <v>2000</v>
      </c>
      <c r="I58" s="116">
        <v>2700</v>
      </c>
      <c r="J58" s="116">
        <v>271</v>
      </c>
      <c r="K58" s="117">
        <v>1112</v>
      </c>
      <c r="L58" s="118" t="s">
        <v>74</v>
      </c>
      <c r="M58" s="119"/>
      <c r="N58" s="120" t="s">
        <v>56</v>
      </c>
      <c r="O58" s="120"/>
      <c r="P58" s="120"/>
    </row>
    <row r="59" spans="2:16" ht="18">
      <c r="B59" s="116">
        <v>2026</v>
      </c>
      <c r="C59" s="116">
        <v>21</v>
      </c>
      <c r="D59" s="169">
        <v>43</v>
      </c>
      <c r="E59" s="116">
        <v>1</v>
      </c>
      <c r="F59" s="116">
        <v>1</v>
      </c>
      <c r="G59" s="116">
        <v>2</v>
      </c>
      <c r="H59" s="116">
        <v>2000</v>
      </c>
      <c r="I59" s="116">
        <v>2700</v>
      </c>
      <c r="J59" s="116">
        <v>271</v>
      </c>
      <c r="K59" s="117">
        <v>1109</v>
      </c>
      <c r="L59" s="118" t="s">
        <v>75</v>
      </c>
      <c r="M59" s="119"/>
      <c r="N59" s="120" t="s">
        <v>56</v>
      </c>
      <c r="O59" s="120"/>
      <c r="P59" s="120"/>
    </row>
    <row r="60" spans="2:16" ht="18">
      <c r="B60" s="116">
        <v>2026</v>
      </c>
      <c r="C60" s="116">
        <v>21</v>
      </c>
      <c r="D60" s="169">
        <v>43</v>
      </c>
      <c r="E60" s="116">
        <v>1</v>
      </c>
      <c r="F60" s="116">
        <v>1</v>
      </c>
      <c r="G60" s="116">
        <v>2</v>
      </c>
      <c r="H60" s="116">
        <v>2000</v>
      </c>
      <c r="I60" s="116">
        <v>2700</v>
      </c>
      <c r="J60" s="116">
        <v>271</v>
      </c>
      <c r="K60" s="117">
        <v>1293</v>
      </c>
      <c r="L60" s="118" t="s">
        <v>76</v>
      </c>
      <c r="M60" s="119"/>
      <c r="N60" s="120" t="s">
        <v>56</v>
      </c>
      <c r="O60" s="120"/>
      <c r="P60" s="120"/>
    </row>
    <row r="61" spans="2:16" ht="18">
      <c r="B61" s="116">
        <v>2026</v>
      </c>
      <c r="C61" s="116">
        <v>21</v>
      </c>
      <c r="D61" s="169">
        <v>43</v>
      </c>
      <c r="E61" s="116">
        <v>1</v>
      </c>
      <c r="F61" s="116">
        <v>1</v>
      </c>
      <c r="G61" s="116">
        <v>2</v>
      </c>
      <c r="H61" s="116">
        <v>2000</v>
      </c>
      <c r="I61" s="116">
        <v>2700</v>
      </c>
      <c r="J61" s="116">
        <v>271</v>
      </c>
      <c r="K61" s="117">
        <v>1389</v>
      </c>
      <c r="L61" s="118" t="s">
        <v>77</v>
      </c>
      <c r="M61" s="119"/>
      <c r="N61" s="120" t="s">
        <v>56</v>
      </c>
      <c r="O61" s="120"/>
      <c r="P61" s="120"/>
    </row>
    <row r="62" spans="2:16" ht="18">
      <c r="B62" s="116">
        <v>2026</v>
      </c>
      <c r="C62" s="116">
        <v>21</v>
      </c>
      <c r="D62" s="169">
        <v>43</v>
      </c>
      <c r="E62" s="116">
        <v>1</v>
      </c>
      <c r="F62" s="116">
        <v>1</v>
      </c>
      <c r="G62" s="116">
        <v>2</v>
      </c>
      <c r="H62" s="116">
        <v>2000</v>
      </c>
      <c r="I62" s="116">
        <v>2700</v>
      </c>
      <c r="J62" s="116">
        <v>271</v>
      </c>
      <c r="K62" s="117">
        <v>1407</v>
      </c>
      <c r="L62" s="118" t="s">
        <v>78</v>
      </c>
      <c r="M62" s="119"/>
      <c r="N62" s="120" t="s">
        <v>56</v>
      </c>
      <c r="O62" s="120"/>
      <c r="P62" s="120"/>
    </row>
    <row r="63" spans="2:16" ht="18">
      <c r="B63" s="116">
        <v>2026</v>
      </c>
      <c r="C63" s="116">
        <v>21</v>
      </c>
      <c r="D63" s="169">
        <v>43</v>
      </c>
      <c r="E63" s="116">
        <v>1</v>
      </c>
      <c r="F63" s="116">
        <v>1</v>
      </c>
      <c r="G63" s="116">
        <v>2</v>
      </c>
      <c r="H63" s="116">
        <v>2000</v>
      </c>
      <c r="I63" s="116">
        <v>2700</v>
      </c>
      <c r="J63" s="116">
        <v>271</v>
      </c>
      <c r="K63" s="117">
        <v>1431</v>
      </c>
      <c r="L63" s="118" t="s">
        <v>79</v>
      </c>
      <c r="M63" s="119"/>
      <c r="N63" s="120" t="s">
        <v>58</v>
      </c>
      <c r="O63" s="120"/>
      <c r="P63" s="120"/>
    </row>
    <row r="64" spans="2:16" ht="18">
      <c r="B64" s="116">
        <v>2026</v>
      </c>
      <c r="C64" s="116">
        <v>21</v>
      </c>
      <c r="D64" s="169">
        <v>43</v>
      </c>
      <c r="E64" s="116">
        <v>1</v>
      </c>
      <c r="F64" s="116">
        <v>1</v>
      </c>
      <c r="G64" s="116">
        <v>2</v>
      </c>
      <c r="H64" s="116">
        <v>2000</v>
      </c>
      <c r="I64" s="116">
        <v>2700</v>
      </c>
      <c r="J64" s="116">
        <v>271</v>
      </c>
      <c r="K64" s="117">
        <v>1446</v>
      </c>
      <c r="L64" s="118" t="s">
        <v>80</v>
      </c>
      <c r="M64" s="119"/>
      <c r="N64" s="120" t="s">
        <v>56</v>
      </c>
      <c r="O64" s="120"/>
      <c r="P64" s="120"/>
    </row>
    <row r="65" spans="2:16" ht="18">
      <c r="B65" s="116">
        <v>2026</v>
      </c>
      <c r="C65" s="116">
        <v>21</v>
      </c>
      <c r="D65" s="169">
        <v>43</v>
      </c>
      <c r="E65" s="116">
        <v>1</v>
      </c>
      <c r="F65" s="116">
        <v>1</v>
      </c>
      <c r="G65" s="116">
        <v>2</v>
      </c>
      <c r="H65" s="116">
        <v>2000</v>
      </c>
      <c r="I65" s="116">
        <v>2700</v>
      </c>
      <c r="J65" s="116">
        <v>271</v>
      </c>
      <c r="K65" s="117">
        <v>1513</v>
      </c>
      <c r="L65" s="118" t="s">
        <v>81</v>
      </c>
      <c r="M65" s="119"/>
      <c r="N65" s="120" t="s">
        <v>58</v>
      </c>
      <c r="O65" s="120"/>
      <c r="P65" s="120"/>
    </row>
    <row r="66" spans="2:16" ht="18">
      <c r="B66" s="116">
        <v>2026</v>
      </c>
      <c r="C66" s="116">
        <v>21</v>
      </c>
      <c r="D66" s="169">
        <v>43</v>
      </c>
      <c r="E66" s="116">
        <v>1</v>
      </c>
      <c r="F66" s="116">
        <v>1</v>
      </c>
      <c r="G66" s="116">
        <v>2</v>
      </c>
      <c r="H66" s="116">
        <v>2000</v>
      </c>
      <c r="I66" s="116">
        <v>2700</v>
      </c>
      <c r="J66" s="116">
        <v>271</v>
      </c>
      <c r="K66" s="117">
        <v>1098</v>
      </c>
      <c r="L66" s="127" t="s">
        <v>82</v>
      </c>
      <c r="M66" s="119"/>
      <c r="N66" s="120" t="s">
        <v>56</v>
      </c>
      <c r="O66" s="120"/>
      <c r="P66" s="120"/>
    </row>
    <row r="67" spans="2:16" ht="18">
      <c r="B67" s="110">
        <v>2026</v>
      </c>
      <c r="C67" s="110">
        <v>21</v>
      </c>
      <c r="D67" s="168">
        <v>43</v>
      </c>
      <c r="E67" s="110">
        <v>1</v>
      </c>
      <c r="F67" s="110">
        <v>1</v>
      </c>
      <c r="G67" s="110">
        <v>2</v>
      </c>
      <c r="H67" s="110">
        <v>2000</v>
      </c>
      <c r="I67" s="110">
        <v>2700</v>
      </c>
      <c r="J67" s="110">
        <v>272</v>
      </c>
      <c r="K67" s="111"/>
      <c r="L67" s="123" t="s">
        <v>83</v>
      </c>
      <c r="M67" s="112">
        <f>SUBTOTAL(9,M68)</f>
        <v>0</v>
      </c>
      <c r="N67" s="113"/>
      <c r="O67" s="114"/>
      <c r="P67" s="115"/>
    </row>
    <row r="68" spans="2:16" ht="18">
      <c r="B68" s="116">
        <v>2026</v>
      </c>
      <c r="C68" s="116">
        <v>21</v>
      </c>
      <c r="D68" s="169">
        <v>43</v>
      </c>
      <c r="E68" s="116">
        <v>1</v>
      </c>
      <c r="F68" s="116">
        <v>1</v>
      </c>
      <c r="G68" s="116">
        <v>2</v>
      </c>
      <c r="H68" s="116">
        <v>2000</v>
      </c>
      <c r="I68" s="116">
        <v>2700</v>
      </c>
      <c r="J68" s="116">
        <v>272</v>
      </c>
      <c r="K68" s="117">
        <v>672</v>
      </c>
      <c r="L68" s="118" t="s">
        <v>84</v>
      </c>
      <c r="M68" s="119"/>
      <c r="N68" s="120" t="s">
        <v>56</v>
      </c>
      <c r="O68" s="121"/>
      <c r="P68" s="121"/>
    </row>
    <row r="69" spans="2:16" ht="18">
      <c r="B69" s="110">
        <v>2026</v>
      </c>
      <c r="C69" s="110">
        <v>21</v>
      </c>
      <c r="D69" s="168">
        <v>43</v>
      </c>
      <c r="E69" s="110">
        <v>1</v>
      </c>
      <c r="F69" s="110">
        <v>1</v>
      </c>
      <c r="G69" s="110">
        <v>2</v>
      </c>
      <c r="H69" s="110">
        <v>2000</v>
      </c>
      <c r="I69" s="110">
        <v>2700</v>
      </c>
      <c r="J69" s="110">
        <v>273</v>
      </c>
      <c r="K69" s="110"/>
      <c r="L69" s="123" t="s">
        <v>85</v>
      </c>
      <c r="M69" s="112">
        <f>SUBTOTAL(9,M70:M76)</f>
        <v>0</v>
      </c>
      <c r="N69" s="113"/>
      <c r="O69" s="113"/>
      <c r="P69" s="113"/>
    </row>
    <row r="70" spans="2:16" ht="18">
      <c r="B70" s="116">
        <v>2026</v>
      </c>
      <c r="C70" s="116">
        <v>21</v>
      </c>
      <c r="D70" s="169">
        <v>43</v>
      </c>
      <c r="E70" s="116">
        <v>1</v>
      </c>
      <c r="F70" s="116">
        <v>1</v>
      </c>
      <c r="G70" s="116">
        <v>2</v>
      </c>
      <c r="H70" s="116">
        <v>2000</v>
      </c>
      <c r="I70" s="116">
        <v>2700</v>
      </c>
      <c r="J70" s="116">
        <v>273</v>
      </c>
      <c r="K70" s="117">
        <v>379</v>
      </c>
      <c r="L70" s="118" t="s">
        <v>86</v>
      </c>
      <c r="M70" s="119"/>
      <c r="N70" s="120" t="s">
        <v>56</v>
      </c>
      <c r="O70" s="120"/>
      <c r="P70" s="120"/>
    </row>
    <row r="71" spans="2:16" ht="18">
      <c r="B71" s="116">
        <v>2026</v>
      </c>
      <c r="C71" s="116">
        <v>21</v>
      </c>
      <c r="D71" s="169">
        <v>43</v>
      </c>
      <c r="E71" s="116">
        <v>1</v>
      </c>
      <c r="F71" s="116">
        <v>1</v>
      </c>
      <c r="G71" s="116">
        <v>2</v>
      </c>
      <c r="H71" s="116">
        <v>2000</v>
      </c>
      <c r="I71" s="116">
        <v>2700</v>
      </c>
      <c r="J71" s="116">
        <v>273</v>
      </c>
      <c r="K71" s="117">
        <v>405</v>
      </c>
      <c r="L71" s="118" t="s">
        <v>87</v>
      </c>
      <c r="M71" s="119"/>
      <c r="N71" s="120" t="s">
        <v>56</v>
      </c>
      <c r="O71" s="120"/>
      <c r="P71" s="120"/>
    </row>
    <row r="72" spans="2:16" ht="18">
      <c r="B72" s="116">
        <v>2026</v>
      </c>
      <c r="C72" s="116">
        <v>21</v>
      </c>
      <c r="D72" s="169">
        <v>43</v>
      </c>
      <c r="E72" s="116">
        <v>1</v>
      </c>
      <c r="F72" s="116">
        <v>1</v>
      </c>
      <c r="G72" s="116">
        <v>2</v>
      </c>
      <c r="H72" s="116">
        <v>2000</v>
      </c>
      <c r="I72" s="116">
        <v>2700</v>
      </c>
      <c r="J72" s="116">
        <v>273</v>
      </c>
      <c r="K72" s="117">
        <v>356</v>
      </c>
      <c r="L72" s="118" t="s">
        <v>88</v>
      </c>
      <c r="M72" s="119"/>
      <c r="N72" s="120" t="s">
        <v>56</v>
      </c>
      <c r="O72" s="120"/>
      <c r="P72" s="120"/>
    </row>
    <row r="73" spans="2:16" ht="18">
      <c r="B73" s="116">
        <v>2026</v>
      </c>
      <c r="C73" s="116">
        <v>21</v>
      </c>
      <c r="D73" s="169">
        <v>43</v>
      </c>
      <c r="E73" s="116">
        <v>1</v>
      </c>
      <c r="F73" s="116">
        <v>1</v>
      </c>
      <c r="G73" s="116">
        <v>2</v>
      </c>
      <c r="H73" s="116">
        <v>2000</v>
      </c>
      <c r="I73" s="116">
        <v>2700</v>
      </c>
      <c r="J73" s="116">
        <v>273</v>
      </c>
      <c r="K73" s="117">
        <v>414</v>
      </c>
      <c r="L73" s="118" t="s">
        <v>89</v>
      </c>
      <c r="M73" s="119"/>
      <c r="N73" s="120" t="s">
        <v>56</v>
      </c>
      <c r="O73" s="120"/>
      <c r="P73" s="120"/>
    </row>
    <row r="74" spans="2:16" ht="18">
      <c r="B74" s="116">
        <v>2026</v>
      </c>
      <c r="C74" s="116">
        <v>21</v>
      </c>
      <c r="D74" s="169">
        <v>43</v>
      </c>
      <c r="E74" s="116">
        <v>1</v>
      </c>
      <c r="F74" s="116">
        <v>1</v>
      </c>
      <c r="G74" s="116">
        <v>2</v>
      </c>
      <c r="H74" s="116">
        <v>2000</v>
      </c>
      <c r="I74" s="116">
        <v>2700</v>
      </c>
      <c r="J74" s="116">
        <v>273</v>
      </c>
      <c r="K74" s="117">
        <v>499</v>
      </c>
      <c r="L74" s="118" t="s">
        <v>90</v>
      </c>
      <c r="M74" s="119"/>
      <c r="N74" s="120" t="s">
        <v>56</v>
      </c>
      <c r="O74" s="120"/>
      <c r="P74" s="120"/>
    </row>
    <row r="75" spans="2:16" ht="18">
      <c r="B75" s="116">
        <v>2026</v>
      </c>
      <c r="C75" s="116">
        <v>21</v>
      </c>
      <c r="D75" s="169">
        <v>43</v>
      </c>
      <c r="E75" s="116">
        <v>1</v>
      </c>
      <c r="F75" s="116">
        <v>1</v>
      </c>
      <c r="G75" s="116">
        <v>2</v>
      </c>
      <c r="H75" s="116">
        <v>2000</v>
      </c>
      <c r="I75" s="116">
        <v>2700</v>
      </c>
      <c r="J75" s="116">
        <v>273</v>
      </c>
      <c r="K75" s="117">
        <v>1144</v>
      </c>
      <c r="L75" s="118" t="s">
        <v>91</v>
      </c>
      <c r="M75" s="119"/>
      <c r="N75" s="120" t="s">
        <v>56</v>
      </c>
      <c r="O75" s="120"/>
      <c r="P75" s="120"/>
    </row>
    <row r="76" spans="2:16" ht="18">
      <c r="B76" s="116">
        <v>2026</v>
      </c>
      <c r="C76" s="116">
        <v>21</v>
      </c>
      <c r="D76" s="169">
        <v>43</v>
      </c>
      <c r="E76" s="116">
        <v>1</v>
      </c>
      <c r="F76" s="116">
        <v>1</v>
      </c>
      <c r="G76" s="116">
        <v>2</v>
      </c>
      <c r="H76" s="116">
        <v>2000</v>
      </c>
      <c r="I76" s="116">
        <v>2700</v>
      </c>
      <c r="J76" s="116">
        <v>273</v>
      </c>
      <c r="K76" s="117">
        <v>1031</v>
      </c>
      <c r="L76" s="118" t="s">
        <v>92</v>
      </c>
      <c r="M76" s="119"/>
      <c r="N76" s="120" t="s">
        <v>56</v>
      </c>
      <c r="O76" s="120"/>
      <c r="P76" s="120"/>
    </row>
    <row r="77" spans="2:16" ht="18">
      <c r="B77" s="103">
        <v>2026</v>
      </c>
      <c r="C77" s="103">
        <v>21</v>
      </c>
      <c r="D77" s="167">
        <v>43</v>
      </c>
      <c r="E77" s="103">
        <v>1</v>
      </c>
      <c r="F77" s="103">
        <v>1</v>
      </c>
      <c r="G77" s="103">
        <v>2</v>
      </c>
      <c r="H77" s="103">
        <v>2000</v>
      </c>
      <c r="I77" s="103">
        <v>2800</v>
      </c>
      <c r="J77" s="103"/>
      <c r="K77" s="104"/>
      <c r="L77" s="105" t="s">
        <v>93</v>
      </c>
      <c r="M77" s="106">
        <f>+M78+M85</f>
        <v>0</v>
      </c>
      <c r="N77" s="107"/>
      <c r="O77" s="108"/>
      <c r="P77" s="109"/>
    </row>
    <row r="78" spans="2:16" ht="18">
      <c r="B78" s="110">
        <v>2026</v>
      </c>
      <c r="C78" s="110">
        <v>21</v>
      </c>
      <c r="D78" s="168">
        <v>43</v>
      </c>
      <c r="E78" s="110">
        <v>1</v>
      </c>
      <c r="F78" s="110">
        <v>1</v>
      </c>
      <c r="G78" s="110">
        <v>2</v>
      </c>
      <c r="H78" s="110">
        <v>2000</v>
      </c>
      <c r="I78" s="110">
        <v>2800</v>
      </c>
      <c r="J78" s="110">
        <v>282</v>
      </c>
      <c r="K78" s="111"/>
      <c r="L78" s="123" t="s">
        <v>94</v>
      </c>
      <c r="M78" s="112">
        <f>SUBTOTAL(9,M79:M84)</f>
        <v>0</v>
      </c>
      <c r="N78" s="113"/>
      <c r="O78" s="114"/>
      <c r="P78" s="115"/>
    </row>
    <row r="79" spans="2:16" ht="18">
      <c r="B79" s="116">
        <v>2026</v>
      </c>
      <c r="C79" s="116">
        <v>21</v>
      </c>
      <c r="D79" s="169">
        <v>43</v>
      </c>
      <c r="E79" s="116">
        <v>1</v>
      </c>
      <c r="F79" s="116">
        <v>1</v>
      </c>
      <c r="G79" s="116">
        <v>2</v>
      </c>
      <c r="H79" s="116">
        <v>2000</v>
      </c>
      <c r="I79" s="116">
        <v>2800</v>
      </c>
      <c r="J79" s="116">
        <v>282</v>
      </c>
      <c r="K79" s="117">
        <v>139</v>
      </c>
      <c r="L79" s="118" t="s">
        <v>95</v>
      </c>
      <c r="M79" s="119"/>
      <c r="N79" s="120" t="s">
        <v>56</v>
      </c>
      <c r="O79" s="120"/>
      <c r="P79" s="120"/>
    </row>
    <row r="80" spans="2:16" ht="18">
      <c r="B80" s="116">
        <v>2026</v>
      </c>
      <c r="C80" s="116">
        <v>21</v>
      </c>
      <c r="D80" s="169">
        <v>43</v>
      </c>
      <c r="E80" s="116">
        <v>1</v>
      </c>
      <c r="F80" s="116">
        <v>1</v>
      </c>
      <c r="G80" s="116">
        <v>2</v>
      </c>
      <c r="H80" s="116">
        <v>2000</v>
      </c>
      <c r="I80" s="116">
        <v>2800</v>
      </c>
      <c r="J80" s="116">
        <v>282</v>
      </c>
      <c r="K80" s="117">
        <v>265</v>
      </c>
      <c r="L80" s="118" t="s">
        <v>96</v>
      </c>
      <c r="M80" s="119"/>
      <c r="N80" s="120" t="s">
        <v>56</v>
      </c>
      <c r="O80" s="120"/>
      <c r="P80" s="120"/>
    </row>
    <row r="81" spans="2:16" ht="18">
      <c r="B81" s="116">
        <v>2026</v>
      </c>
      <c r="C81" s="116">
        <v>21</v>
      </c>
      <c r="D81" s="169">
        <v>43</v>
      </c>
      <c r="E81" s="116">
        <v>1</v>
      </c>
      <c r="F81" s="116">
        <v>1</v>
      </c>
      <c r="G81" s="116">
        <v>2</v>
      </c>
      <c r="H81" s="116">
        <v>2000</v>
      </c>
      <c r="I81" s="116">
        <v>2800</v>
      </c>
      <c r="J81" s="116">
        <v>282</v>
      </c>
      <c r="K81" s="117">
        <v>266</v>
      </c>
      <c r="L81" s="118" t="s">
        <v>97</v>
      </c>
      <c r="M81" s="119"/>
      <c r="N81" s="120" t="s">
        <v>56</v>
      </c>
      <c r="O81" s="120"/>
      <c r="P81" s="120"/>
    </row>
    <row r="82" spans="2:16" ht="18">
      <c r="B82" s="116">
        <v>2026</v>
      </c>
      <c r="C82" s="116">
        <v>21</v>
      </c>
      <c r="D82" s="169">
        <v>43</v>
      </c>
      <c r="E82" s="116">
        <v>1</v>
      </c>
      <c r="F82" s="116">
        <v>1</v>
      </c>
      <c r="G82" s="116">
        <v>2</v>
      </c>
      <c r="H82" s="116">
        <v>2000</v>
      </c>
      <c r="I82" s="116">
        <v>2800</v>
      </c>
      <c r="J82" s="116">
        <v>282</v>
      </c>
      <c r="K82" s="117">
        <v>268</v>
      </c>
      <c r="L82" s="118" t="s">
        <v>98</v>
      </c>
      <c r="M82" s="119"/>
      <c r="N82" s="120" t="s">
        <v>99</v>
      </c>
      <c r="O82" s="120"/>
      <c r="P82" s="120"/>
    </row>
    <row r="83" spans="2:16" ht="18">
      <c r="B83" s="116">
        <v>2026</v>
      </c>
      <c r="C83" s="116">
        <v>21</v>
      </c>
      <c r="D83" s="169">
        <v>43</v>
      </c>
      <c r="E83" s="116">
        <v>1</v>
      </c>
      <c r="F83" s="116">
        <v>1</v>
      </c>
      <c r="G83" s="116">
        <v>2</v>
      </c>
      <c r="H83" s="116">
        <v>2000</v>
      </c>
      <c r="I83" s="116">
        <v>2800</v>
      </c>
      <c r="J83" s="116">
        <v>282</v>
      </c>
      <c r="K83" s="117">
        <v>272</v>
      </c>
      <c r="L83" s="118" t="s">
        <v>100</v>
      </c>
      <c r="M83" s="119"/>
      <c r="N83" s="120" t="s">
        <v>99</v>
      </c>
      <c r="O83" s="120"/>
      <c r="P83" s="120"/>
    </row>
    <row r="84" spans="2:16" ht="18">
      <c r="B84" s="116">
        <v>2026</v>
      </c>
      <c r="C84" s="116">
        <v>21</v>
      </c>
      <c r="D84" s="169">
        <v>43</v>
      </c>
      <c r="E84" s="116">
        <v>1</v>
      </c>
      <c r="F84" s="116">
        <v>1</v>
      </c>
      <c r="G84" s="116">
        <v>2</v>
      </c>
      <c r="H84" s="116">
        <v>2000</v>
      </c>
      <c r="I84" s="116">
        <v>2800</v>
      </c>
      <c r="J84" s="116">
        <v>282</v>
      </c>
      <c r="K84" s="117">
        <v>647</v>
      </c>
      <c r="L84" s="118" t="s">
        <v>101</v>
      </c>
      <c r="M84" s="119"/>
      <c r="N84" s="120" t="s">
        <v>56</v>
      </c>
      <c r="O84" s="120"/>
      <c r="P84" s="120"/>
    </row>
    <row r="85" spans="2:16" ht="18">
      <c r="B85" s="110">
        <v>2026</v>
      </c>
      <c r="C85" s="110">
        <v>21</v>
      </c>
      <c r="D85" s="168">
        <v>43</v>
      </c>
      <c r="E85" s="110">
        <v>1</v>
      </c>
      <c r="F85" s="110">
        <v>1</v>
      </c>
      <c r="G85" s="110">
        <v>2</v>
      </c>
      <c r="H85" s="110">
        <v>2000</v>
      </c>
      <c r="I85" s="110">
        <v>2800</v>
      </c>
      <c r="J85" s="110">
        <v>283</v>
      </c>
      <c r="K85" s="111"/>
      <c r="L85" s="123" t="s">
        <v>102</v>
      </c>
      <c r="M85" s="112">
        <f>SUBTOTAL(9,M86:M127)</f>
        <v>0</v>
      </c>
      <c r="N85" s="113"/>
      <c r="O85" s="114"/>
      <c r="P85" s="115"/>
    </row>
    <row r="86" spans="2:16" ht="18">
      <c r="B86" s="116">
        <v>2026</v>
      </c>
      <c r="C86" s="116">
        <v>21</v>
      </c>
      <c r="D86" s="169">
        <v>43</v>
      </c>
      <c r="E86" s="116">
        <v>1</v>
      </c>
      <c r="F86" s="116">
        <v>1</v>
      </c>
      <c r="G86" s="116">
        <v>2</v>
      </c>
      <c r="H86" s="116">
        <v>2000</v>
      </c>
      <c r="I86" s="116">
        <v>2800</v>
      </c>
      <c r="J86" s="116">
        <v>283</v>
      </c>
      <c r="K86" s="117">
        <v>113</v>
      </c>
      <c r="L86" s="118" t="s">
        <v>103</v>
      </c>
      <c r="M86" s="119"/>
      <c r="N86" s="120" t="s">
        <v>56</v>
      </c>
      <c r="O86" s="120"/>
      <c r="P86" s="120"/>
    </row>
    <row r="87" spans="2:16" ht="18">
      <c r="B87" s="116">
        <v>2026</v>
      </c>
      <c r="C87" s="116">
        <v>21</v>
      </c>
      <c r="D87" s="169">
        <v>43</v>
      </c>
      <c r="E87" s="116">
        <v>1</v>
      </c>
      <c r="F87" s="116">
        <v>1</v>
      </c>
      <c r="G87" s="116">
        <v>2</v>
      </c>
      <c r="H87" s="116">
        <v>2000</v>
      </c>
      <c r="I87" s="116">
        <v>2800</v>
      </c>
      <c r="J87" s="116">
        <v>283</v>
      </c>
      <c r="K87" s="117">
        <v>236</v>
      </c>
      <c r="L87" s="118" t="s">
        <v>104</v>
      </c>
      <c r="M87" s="119"/>
      <c r="N87" s="120" t="s">
        <v>56</v>
      </c>
      <c r="O87" s="120"/>
      <c r="P87" s="120"/>
    </row>
    <row r="88" spans="2:16" ht="18">
      <c r="B88" s="116">
        <v>2026</v>
      </c>
      <c r="C88" s="116">
        <v>21</v>
      </c>
      <c r="D88" s="169">
        <v>43</v>
      </c>
      <c r="E88" s="116">
        <v>1</v>
      </c>
      <c r="F88" s="116">
        <v>1</v>
      </c>
      <c r="G88" s="116">
        <v>2</v>
      </c>
      <c r="H88" s="116">
        <v>2000</v>
      </c>
      <c r="I88" s="116">
        <v>2800</v>
      </c>
      <c r="J88" s="116">
        <v>283</v>
      </c>
      <c r="K88" s="117">
        <v>240</v>
      </c>
      <c r="L88" s="118" t="s">
        <v>105</v>
      </c>
      <c r="M88" s="119"/>
      <c r="N88" s="120" t="s">
        <v>56</v>
      </c>
      <c r="O88" s="120"/>
      <c r="P88" s="120"/>
    </row>
    <row r="89" spans="2:16" ht="18">
      <c r="B89" s="116">
        <v>2026</v>
      </c>
      <c r="C89" s="116">
        <v>21</v>
      </c>
      <c r="D89" s="169">
        <v>43</v>
      </c>
      <c r="E89" s="116">
        <v>1</v>
      </c>
      <c r="F89" s="116">
        <v>1</v>
      </c>
      <c r="G89" s="116">
        <v>2</v>
      </c>
      <c r="H89" s="116">
        <v>2000</v>
      </c>
      <c r="I89" s="116">
        <v>2800</v>
      </c>
      <c r="J89" s="116">
        <v>283</v>
      </c>
      <c r="K89" s="117">
        <v>247</v>
      </c>
      <c r="L89" s="118" t="s">
        <v>106</v>
      </c>
      <c r="M89" s="119"/>
      <c r="N89" s="120" t="s">
        <v>56</v>
      </c>
      <c r="O89" s="120"/>
      <c r="P89" s="120"/>
    </row>
    <row r="90" spans="2:16" ht="18">
      <c r="B90" s="116">
        <v>2026</v>
      </c>
      <c r="C90" s="116">
        <v>21</v>
      </c>
      <c r="D90" s="169">
        <v>43</v>
      </c>
      <c r="E90" s="116">
        <v>1</v>
      </c>
      <c r="F90" s="116">
        <v>1</v>
      </c>
      <c r="G90" s="116">
        <v>2</v>
      </c>
      <c r="H90" s="116">
        <v>2000</v>
      </c>
      <c r="I90" s="116">
        <v>2800</v>
      </c>
      <c r="J90" s="116">
        <v>283</v>
      </c>
      <c r="K90" s="117">
        <v>278</v>
      </c>
      <c r="L90" s="118" t="s">
        <v>107</v>
      </c>
      <c r="M90" s="119"/>
      <c r="N90" s="120" t="s">
        <v>56</v>
      </c>
      <c r="O90" s="120"/>
      <c r="P90" s="120"/>
    </row>
    <row r="91" spans="2:16" ht="18">
      <c r="B91" s="116">
        <v>2026</v>
      </c>
      <c r="C91" s="116">
        <v>21</v>
      </c>
      <c r="D91" s="169">
        <v>43</v>
      </c>
      <c r="E91" s="116">
        <v>1</v>
      </c>
      <c r="F91" s="116">
        <v>1</v>
      </c>
      <c r="G91" s="116">
        <v>2</v>
      </c>
      <c r="H91" s="116">
        <v>2000</v>
      </c>
      <c r="I91" s="116">
        <v>2800</v>
      </c>
      <c r="J91" s="116">
        <v>283</v>
      </c>
      <c r="K91" s="117">
        <v>303</v>
      </c>
      <c r="L91" s="118" t="s">
        <v>108</v>
      </c>
      <c r="M91" s="119"/>
      <c r="N91" s="120" t="s">
        <v>56</v>
      </c>
      <c r="O91" s="120"/>
      <c r="P91" s="120"/>
    </row>
    <row r="92" spans="2:16" ht="18">
      <c r="B92" s="116">
        <v>2026</v>
      </c>
      <c r="C92" s="116">
        <v>21</v>
      </c>
      <c r="D92" s="169">
        <v>43</v>
      </c>
      <c r="E92" s="116">
        <v>1</v>
      </c>
      <c r="F92" s="116">
        <v>1</v>
      </c>
      <c r="G92" s="116">
        <v>2</v>
      </c>
      <c r="H92" s="116">
        <v>2000</v>
      </c>
      <c r="I92" s="116">
        <v>2800</v>
      </c>
      <c r="J92" s="116">
        <v>283</v>
      </c>
      <c r="K92" s="117">
        <v>313</v>
      </c>
      <c r="L92" s="118" t="s">
        <v>109</v>
      </c>
      <c r="M92" s="119"/>
      <c r="N92" s="120" t="s">
        <v>56</v>
      </c>
      <c r="O92" s="120"/>
      <c r="P92" s="120"/>
    </row>
    <row r="93" spans="2:16" ht="18">
      <c r="B93" s="116">
        <v>2026</v>
      </c>
      <c r="C93" s="116">
        <v>21</v>
      </c>
      <c r="D93" s="169">
        <v>43</v>
      </c>
      <c r="E93" s="116">
        <v>1</v>
      </c>
      <c r="F93" s="116">
        <v>1</v>
      </c>
      <c r="G93" s="116">
        <v>2</v>
      </c>
      <c r="H93" s="116">
        <v>2000</v>
      </c>
      <c r="I93" s="116">
        <v>2800</v>
      </c>
      <c r="J93" s="116">
        <v>283</v>
      </c>
      <c r="K93" s="117">
        <v>318</v>
      </c>
      <c r="L93" s="118" t="s">
        <v>110</v>
      </c>
      <c r="M93" s="119"/>
      <c r="N93" s="120" t="s">
        <v>56</v>
      </c>
      <c r="O93" s="120"/>
      <c r="P93" s="120"/>
    </row>
    <row r="94" spans="2:16" ht="18">
      <c r="B94" s="116">
        <v>2026</v>
      </c>
      <c r="C94" s="116">
        <v>21</v>
      </c>
      <c r="D94" s="169">
        <v>43</v>
      </c>
      <c r="E94" s="116">
        <v>1</v>
      </c>
      <c r="F94" s="116">
        <v>1</v>
      </c>
      <c r="G94" s="116">
        <v>2</v>
      </c>
      <c r="H94" s="116">
        <v>2000</v>
      </c>
      <c r="I94" s="116">
        <v>2800</v>
      </c>
      <c r="J94" s="116">
        <v>283</v>
      </c>
      <c r="K94" s="117">
        <v>330</v>
      </c>
      <c r="L94" s="118" t="s">
        <v>111</v>
      </c>
      <c r="M94" s="119"/>
      <c r="N94" s="120" t="s">
        <v>56</v>
      </c>
      <c r="O94" s="120"/>
      <c r="P94" s="120"/>
    </row>
    <row r="95" spans="2:16" ht="18">
      <c r="B95" s="116">
        <v>2026</v>
      </c>
      <c r="C95" s="116">
        <v>21</v>
      </c>
      <c r="D95" s="169">
        <v>43</v>
      </c>
      <c r="E95" s="116">
        <v>1</v>
      </c>
      <c r="F95" s="116">
        <v>1</v>
      </c>
      <c r="G95" s="116">
        <v>2</v>
      </c>
      <c r="H95" s="116">
        <v>2000</v>
      </c>
      <c r="I95" s="116">
        <v>2800</v>
      </c>
      <c r="J95" s="116">
        <v>283</v>
      </c>
      <c r="K95" s="117">
        <v>346</v>
      </c>
      <c r="L95" s="118" t="s">
        <v>112</v>
      </c>
      <c r="M95" s="119"/>
      <c r="N95" s="120" t="s">
        <v>58</v>
      </c>
      <c r="O95" s="120"/>
      <c r="P95" s="120"/>
    </row>
    <row r="96" spans="2:16" ht="18">
      <c r="B96" s="116">
        <v>2026</v>
      </c>
      <c r="C96" s="116">
        <v>21</v>
      </c>
      <c r="D96" s="169">
        <v>43</v>
      </c>
      <c r="E96" s="116">
        <v>1</v>
      </c>
      <c r="F96" s="116">
        <v>1</v>
      </c>
      <c r="G96" s="116">
        <v>2</v>
      </c>
      <c r="H96" s="116">
        <v>2000</v>
      </c>
      <c r="I96" s="116">
        <v>2800</v>
      </c>
      <c r="J96" s="116">
        <v>283</v>
      </c>
      <c r="K96" s="117">
        <v>412</v>
      </c>
      <c r="L96" s="118" t="s">
        <v>113</v>
      </c>
      <c r="M96" s="119"/>
      <c r="N96" s="120" t="s">
        <v>56</v>
      </c>
      <c r="O96" s="120"/>
      <c r="P96" s="120"/>
    </row>
    <row r="97" spans="2:16" ht="18">
      <c r="B97" s="116">
        <v>2026</v>
      </c>
      <c r="C97" s="116">
        <v>21</v>
      </c>
      <c r="D97" s="169">
        <v>43</v>
      </c>
      <c r="E97" s="116">
        <v>1</v>
      </c>
      <c r="F97" s="116">
        <v>1</v>
      </c>
      <c r="G97" s="116">
        <v>2</v>
      </c>
      <c r="H97" s="116">
        <v>2000</v>
      </c>
      <c r="I97" s="116">
        <v>2800</v>
      </c>
      <c r="J97" s="116">
        <v>283</v>
      </c>
      <c r="K97" s="117">
        <v>418</v>
      </c>
      <c r="L97" s="118" t="s">
        <v>114</v>
      </c>
      <c r="M97" s="119"/>
      <c r="N97" s="120" t="s">
        <v>56</v>
      </c>
      <c r="O97" s="120"/>
      <c r="P97" s="120"/>
    </row>
    <row r="98" spans="2:16" ht="18">
      <c r="B98" s="116">
        <v>2026</v>
      </c>
      <c r="C98" s="116">
        <v>21</v>
      </c>
      <c r="D98" s="169">
        <v>43</v>
      </c>
      <c r="E98" s="116">
        <v>1</v>
      </c>
      <c r="F98" s="116">
        <v>1</v>
      </c>
      <c r="G98" s="116">
        <v>2</v>
      </c>
      <c r="H98" s="116">
        <v>2000</v>
      </c>
      <c r="I98" s="116">
        <v>2800</v>
      </c>
      <c r="J98" s="116">
        <v>283</v>
      </c>
      <c r="K98" s="117">
        <v>467</v>
      </c>
      <c r="L98" s="118" t="s">
        <v>115</v>
      </c>
      <c r="M98" s="119"/>
      <c r="N98" s="120" t="s">
        <v>56</v>
      </c>
      <c r="O98" s="120"/>
      <c r="P98" s="120"/>
    </row>
    <row r="99" spans="2:16" ht="18">
      <c r="B99" s="116">
        <v>2026</v>
      </c>
      <c r="C99" s="116">
        <v>21</v>
      </c>
      <c r="D99" s="169">
        <v>43</v>
      </c>
      <c r="E99" s="116">
        <v>1</v>
      </c>
      <c r="F99" s="116">
        <v>1</v>
      </c>
      <c r="G99" s="116">
        <v>2</v>
      </c>
      <c r="H99" s="116">
        <v>2000</v>
      </c>
      <c r="I99" s="116">
        <v>2800</v>
      </c>
      <c r="J99" s="116">
        <v>283</v>
      </c>
      <c r="K99" s="117">
        <v>520</v>
      </c>
      <c r="L99" s="118" t="s">
        <v>116</v>
      </c>
      <c r="M99" s="119"/>
      <c r="N99" s="120" t="s">
        <v>56</v>
      </c>
      <c r="O99" s="120"/>
      <c r="P99" s="120"/>
    </row>
    <row r="100" spans="2:16" ht="18">
      <c r="B100" s="116">
        <v>2026</v>
      </c>
      <c r="C100" s="116">
        <v>21</v>
      </c>
      <c r="D100" s="169">
        <v>43</v>
      </c>
      <c r="E100" s="116">
        <v>1</v>
      </c>
      <c r="F100" s="116">
        <v>1</v>
      </c>
      <c r="G100" s="116">
        <v>2</v>
      </c>
      <c r="H100" s="116">
        <v>2000</v>
      </c>
      <c r="I100" s="116">
        <v>2800</v>
      </c>
      <c r="J100" s="116">
        <v>283</v>
      </c>
      <c r="K100" s="117">
        <v>542</v>
      </c>
      <c r="L100" s="118" t="s">
        <v>117</v>
      </c>
      <c r="M100" s="119"/>
      <c r="N100" s="120" t="s">
        <v>56</v>
      </c>
      <c r="O100" s="120"/>
      <c r="P100" s="120"/>
    </row>
    <row r="101" spans="2:16" ht="18">
      <c r="B101" s="116">
        <v>2026</v>
      </c>
      <c r="C101" s="116">
        <v>21</v>
      </c>
      <c r="D101" s="169">
        <v>43</v>
      </c>
      <c r="E101" s="116">
        <v>1</v>
      </c>
      <c r="F101" s="116">
        <v>1</v>
      </c>
      <c r="G101" s="116">
        <v>2</v>
      </c>
      <c r="H101" s="116">
        <v>2000</v>
      </c>
      <c r="I101" s="116">
        <v>2800</v>
      </c>
      <c r="J101" s="116">
        <v>283</v>
      </c>
      <c r="K101" s="117">
        <v>605</v>
      </c>
      <c r="L101" s="118" t="s">
        <v>118</v>
      </c>
      <c r="M101" s="119"/>
      <c r="N101" s="120" t="s">
        <v>56</v>
      </c>
      <c r="O101" s="120"/>
      <c r="P101" s="120"/>
    </row>
    <row r="102" spans="2:16" ht="18">
      <c r="B102" s="116">
        <v>2026</v>
      </c>
      <c r="C102" s="116">
        <v>21</v>
      </c>
      <c r="D102" s="169">
        <v>43</v>
      </c>
      <c r="E102" s="116">
        <v>1</v>
      </c>
      <c r="F102" s="116">
        <v>1</v>
      </c>
      <c r="G102" s="116">
        <v>2</v>
      </c>
      <c r="H102" s="116">
        <v>2000</v>
      </c>
      <c r="I102" s="116">
        <v>2800</v>
      </c>
      <c r="J102" s="116">
        <v>283</v>
      </c>
      <c r="K102" s="117">
        <v>615</v>
      </c>
      <c r="L102" s="118" t="s">
        <v>119</v>
      </c>
      <c r="M102" s="119"/>
      <c r="N102" s="120" t="s">
        <v>56</v>
      </c>
      <c r="O102" s="120"/>
      <c r="P102" s="120"/>
    </row>
    <row r="103" spans="2:16" ht="18">
      <c r="B103" s="116">
        <v>2026</v>
      </c>
      <c r="C103" s="116">
        <v>21</v>
      </c>
      <c r="D103" s="169">
        <v>43</v>
      </c>
      <c r="E103" s="116">
        <v>1</v>
      </c>
      <c r="F103" s="116">
        <v>1</v>
      </c>
      <c r="G103" s="116">
        <v>2</v>
      </c>
      <c r="H103" s="116">
        <v>2000</v>
      </c>
      <c r="I103" s="116">
        <v>2800</v>
      </c>
      <c r="J103" s="116">
        <v>283</v>
      </c>
      <c r="K103" s="117">
        <v>620</v>
      </c>
      <c r="L103" s="118" t="s">
        <v>120</v>
      </c>
      <c r="M103" s="119"/>
      <c r="N103" s="120" t="s">
        <v>58</v>
      </c>
      <c r="O103" s="120"/>
      <c r="P103" s="120"/>
    </row>
    <row r="104" spans="2:16" ht="18">
      <c r="B104" s="116">
        <v>2026</v>
      </c>
      <c r="C104" s="116">
        <v>21</v>
      </c>
      <c r="D104" s="169">
        <v>43</v>
      </c>
      <c r="E104" s="116">
        <v>1</v>
      </c>
      <c r="F104" s="116">
        <v>1</v>
      </c>
      <c r="G104" s="116">
        <v>2</v>
      </c>
      <c r="H104" s="116">
        <v>2000</v>
      </c>
      <c r="I104" s="116">
        <v>2800</v>
      </c>
      <c r="J104" s="116">
        <v>283</v>
      </c>
      <c r="K104" s="117">
        <v>714</v>
      </c>
      <c r="L104" s="118" t="s">
        <v>121</v>
      </c>
      <c r="M104" s="119"/>
      <c r="N104" s="120" t="s">
        <v>56</v>
      </c>
      <c r="O104" s="120"/>
      <c r="P104" s="120"/>
    </row>
    <row r="105" spans="2:16" ht="18">
      <c r="B105" s="116">
        <v>2026</v>
      </c>
      <c r="C105" s="116">
        <v>21</v>
      </c>
      <c r="D105" s="169">
        <v>43</v>
      </c>
      <c r="E105" s="116">
        <v>1</v>
      </c>
      <c r="F105" s="116">
        <v>1</v>
      </c>
      <c r="G105" s="116">
        <v>2</v>
      </c>
      <c r="H105" s="116">
        <v>2000</v>
      </c>
      <c r="I105" s="116">
        <v>2800</v>
      </c>
      <c r="J105" s="116">
        <v>283</v>
      </c>
      <c r="K105" s="117">
        <v>826</v>
      </c>
      <c r="L105" s="118" t="s">
        <v>122</v>
      </c>
      <c r="M105" s="119"/>
      <c r="N105" s="120" t="s">
        <v>56</v>
      </c>
      <c r="O105" s="120"/>
      <c r="P105" s="120"/>
    </row>
    <row r="106" spans="2:16" ht="18">
      <c r="B106" s="116">
        <v>2026</v>
      </c>
      <c r="C106" s="116">
        <v>21</v>
      </c>
      <c r="D106" s="169">
        <v>43</v>
      </c>
      <c r="E106" s="116">
        <v>1</v>
      </c>
      <c r="F106" s="116">
        <v>1</v>
      </c>
      <c r="G106" s="116">
        <v>2</v>
      </c>
      <c r="H106" s="116">
        <v>2000</v>
      </c>
      <c r="I106" s="116">
        <v>2800</v>
      </c>
      <c r="J106" s="116">
        <v>283</v>
      </c>
      <c r="K106" s="117">
        <v>870</v>
      </c>
      <c r="L106" s="118" t="s">
        <v>123</v>
      </c>
      <c r="M106" s="119"/>
      <c r="N106" s="120" t="s">
        <v>56</v>
      </c>
      <c r="O106" s="120"/>
      <c r="P106" s="120"/>
    </row>
    <row r="107" spans="2:16" ht="18">
      <c r="B107" s="116">
        <v>2026</v>
      </c>
      <c r="C107" s="116">
        <v>21</v>
      </c>
      <c r="D107" s="169">
        <v>43</v>
      </c>
      <c r="E107" s="116">
        <v>1</v>
      </c>
      <c r="F107" s="116">
        <v>1</v>
      </c>
      <c r="G107" s="116">
        <v>2</v>
      </c>
      <c r="H107" s="116">
        <v>2000</v>
      </c>
      <c r="I107" s="116">
        <v>2800</v>
      </c>
      <c r="J107" s="116">
        <v>283</v>
      </c>
      <c r="K107" s="117">
        <v>904</v>
      </c>
      <c r="L107" s="118" t="s">
        <v>124</v>
      </c>
      <c r="M107" s="119"/>
      <c r="N107" s="120" t="s">
        <v>56</v>
      </c>
      <c r="O107" s="120"/>
      <c r="P107" s="120"/>
    </row>
    <row r="108" spans="2:16" ht="18">
      <c r="B108" s="116">
        <v>2026</v>
      </c>
      <c r="C108" s="116">
        <v>21</v>
      </c>
      <c r="D108" s="169">
        <v>43</v>
      </c>
      <c r="E108" s="116">
        <v>1</v>
      </c>
      <c r="F108" s="116">
        <v>1</v>
      </c>
      <c r="G108" s="116">
        <v>2</v>
      </c>
      <c r="H108" s="116">
        <v>2000</v>
      </c>
      <c r="I108" s="116">
        <v>2800</v>
      </c>
      <c r="J108" s="116">
        <v>283</v>
      </c>
      <c r="K108" s="117">
        <v>970</v>
      </c>
      <c r="L108" s="118" t="s">
        <v>125</v>
      </c>
      <c r="M108" s="119"/>
      <c r="N108" s="120" t="s">
        <v>56</v>
      </c>
      <c r="O108" s="120"/>
      <c r="P108" s="120"/>
    </row>
    <row r="109" spans="2:16" ht="18">
      <c r="B109" s="116">
        <v>2026</v>
      </c>
      <c r="C109" s="116">
        <v>21</v>
      </c>
      <c r="D109" s="169">
        <v>43</v>
      </c>
      <c r="E109" s="116">
        <v>1</v>
      </c>
      <c r="F109" s="116">
        <v>1</v>
      </c>
      <c r="G109" s="116">
        <v>2</v>
      </c>
      <c r="H109" s="116">
        <v>2000</v>
      </c>
      <c r="I109" s="116">
        <v>2800</v>
      </c>
      <c r="J109" s="116">
        <v>283</v>
      </c>
      <c r="K109" s="117">
        <v>988</v>
      </c>
      <c r="L109" s="118" t="s">
        <v>126</v>
      </c>
      <c r="M109" s="119"/>
      <c r="N109" s="120" t="s">
        <v>56</v>
      </c>
      <c r="O109" s="120"/>
      <c r="P109" s="120"/>
    </row>
    <row r="110" spans="2:16" ht="18">
      <c r="B110" s="116">
        <v>2026</v>
      </c>
      <c r="C110" s="116">
        <v>21</v>
      </c>
      <c r="D110" s="169">
        <v>43</v>
      </c>
      <c r="E110" s="116">
        <v>1</v>
      </c>
      <c r="F110" s="116">
        <v>1</v>
      </c>
      <c r="G110" s="116">
        <v>2</v>
      </c>
      <c r="H110" s="116">
        <v>2000</v>
      </c>
      <c r="I110" s="116">
        <v>2800</v>
      </c>
      <c r="J110" s="116">
        <v>283</v>
      </c>
      <c r="K110" s="117">
        <v>1018</v>
      </c>
      <c r="L110" s="118" t="s">
        <v>127</v>
      </c>
      <c r="M110" s="119"/>
      <c r="N110" s="120" t="s">
        <v>56</v>
      </c>
      <c r="O110" s="120"/>
      <c r="P110" s="120"/>
    </row>
    <row r="111" spans="2:16" ht="18">
      <c r="B111" s="116">
        <v>2026</v>
      </c>
      <c r="C111" s="116">
        <v>21</v>
      </c>
      <c r="D111" s="169">
        <v>43</v>
      </c>
      <c r="E111" s="116">
        <v>1</v>
      </c>
      <c r="F111" s="116">
        <v>1</v>
      </c>
      <c r="G111" s="116">
        <v>2</v>
      </c>
      <c r="H111" s="116">
        <v>2000</v>
      </c>
      <c r="I111" s="116">
        <v>2800</v>
      </c>
      <c r="J111" s="116">
        <v>283</v>
      </c>
      <c r="K111" s="117">
        <v>1065</v>
      </c>
      <c r="L111" s="118" t="s">
        <v>128</v>
      </c>
      <c r="M111" s="119"/>
      <c r="N111" s="120" t="s">
        <v>56</v>
      </c>
      <c r="O111" s="120"/>
      <c r="P111" s="120"/>
    </row>
    <row r="112" spans="2:16" ht="18">
      <c r="B112" s="116">
        <v>2026</v>
      </c>
      <c r="C112" s="116">
        <v>21</v>
      </c>
      <c r="D112" s="169">
        <v>43</v>
      </c>
      <c r="E112" s="116">
        <v>1</v>
      </c>
      <c r="F112" s="116">
        <v>1</v>
      </c>
      <c r="G112" s="116">
        <v>2</v>
      </c>
      <c r="H112" s="116">
        <v>2000</v>
      </c>
      <c r="I112" s="116">
        <v>2800</v>
      </c>
      <c r="J112" s="116">
        <v>283</v>
      </c>
      <c r="K112" s="117">
        <v>1082</v>
      </c>
      <c r="L112" s="118" t="s">
        <v>129</v>
      </c>
      <c r="M112" s="119"/>
      <c r="N112" s="120" t="s">
        <v>58</v>
      </c>
      <c r="O112" s="120"/>
      <c r="P112" s="120"/>
    </row>
    <row r="113" spans="2:16" ht="18">
      <c r="B113" s="116">
        <v>2026</v>
      </c>
      <c r="C113" s="116">
        <v>21</v>
      </c>
      <c r="D113" s="169">
        <v>43</v>
      </c>
      <c r="E113" s="116">
        <v>1</v>
      </c>
      <c r="F113" s="116">
        <v>1</v>
      </c>
      <c r="G113" s="116">
        <v>2</v>
      </c>
      <c r="H113" s="116">
        <v>2000</v>
      </c>
      <c r="I113" s="116">
        <v>2800</v>
      </c>
      <c r="J113" s="116">
        <v>283</v>
      </c>
      <c r="K113" s="117">
        <v>1159</v>
      </c>
      <c r="L113" s="118" t="s">
        <v>130</v>
      </c>
      <c r="M113" s="119"/>
      <c r="N113" s="120" t="s">
        <v>56</v>
      </c>
      <c r="O113" s="120"/>
      <c r="P113" s="120"/>
    </row>
    <row r="114" spans="2:16" ht="18">
      <c r="B114" s="116">
        <v>2026</v>
      </c>
      <c r="C114" s="116">
        <v>21</v>
      </c>
      <c r="D114" s="169">
        <v>43</v>
      </c>
      <c r="E114" s="116">
        <v>1</v>
      </c>
      <c r="F114" s="116">
        <v>1</v>
      </c>
      <c r="G114" s="116">
        <v>2</v>
      </c>
      <c r="H114" s="116">
        <v>2000</v>
      </c>
      <c r="I114" s="116">
        <v>2800</v>
      </c>
      <c r="J114" s="116">
        <v>283</v>
      </c>
      <c r="K114" s="117">
        <v>1160</v>
      </c>
      <c r="L114" s="118" t="s">
        <v>131</v>
      </c>
      <c r="M114" s="119"/>
      <c r="N114" s="120" t="s">
        <v>56</v>
      </c>
      <c r="O114" s="120"/>
      <c r="P114" s="120"/>
    </row>
    <row r="115" spans="2:16" ht="18">
      <c r="B115" s="116">
        <v>2026</v>
      </c>
      <c r="C115" s="116">
        <v>21</v>
      </c>
      <c r="D115" s="169">
        <v>43</v>
      </c>
      <c r="E115" s="116">
        <v>1</v>
      </c>
      <c r="F115" s="116">
        <v>1</v>
      </c>
      <c r="G115" s="116">
        <v>2</v>
      </c>
      <c r="H115" s="116">
        <v>2000</v>
      </c>
      <c r="I115" s="116">
        <v>2800</v>
      </c>
      <c r="J115" s="116">
        <v>283</v>
      </c>
      <c r="K115" s="117">
        <v>1161</v>
      </c>
      <c r="L115" s="118" t="s">
        <v>132</v>
      </c>
      <c r="M115" s="119"/>
      <c r="N115" s="120" t="s">
        <v>56</v>
      </c>
      <c r="O115" s="120"/>
      <c r="P115" s="120"/>
    </row>
    <row r="116" spans="2:16" ht="18">
      <c r="B116" s="116">
        <v>2026</v>
      </c>
      <c r="C116" s="116">
        <v>21</v>
      </c>
      <c r="D116" s="169">
        <v>43</v>
      </c>
      <c r="E116" s="116">
        <v>1</v>
      </c>
      <c r="F116" s="116">
        <v>1</v>
      </c>
      <c r="G116" s="116">
        <v>2</v>
      </c>
      <c r="H116" s="116">
        <v>2000</v>
      </c>
      <c r="I116" s="116">
        <v>2800</v>
      </c>
      <c r="J116" s="116">
        <v>283</v>
      </c>
      <c r="K116" s="117">
        <v>1162</v>
      </c>
      <c r="L116" s="118" t="s">
        <v>133</v>
      </c>
      <c r="M116" s="119"/>
      <c r="N116" s="120" t="s">
        <v>58</v>
      </c>
      <c r="O116" s="120"/>
      <c r="P116" s="120"/>
    </row>
    <row r="117" spans="2:16" ht="18">
      <c r="B117" s="116">
        <v>2026</v>
      </c>
      <c r="C117" s="116">
        <v>21</v>
      </c>
      <c r="D117" s="169">
        <v>43</v>
      </c>
      <c r="E117" s="116">
        <v>1</v>
      </c>
      <c r="F117" s="116">
        <v>1</v>
      </c>
      <c r="G117" s="116">
        <v>2</v>
      </c>
      <c r="H117" s="116">
        <v>2000</v>
      </c>
      <c r="I117" s="116">
        <v>2800</v>
      </c>
      <c r="J117" s="116">
        <v>283</v>
      </c>
      <c r="K117" s="117">
        <v>1163</v>
      </c>
      <c r="L117" s="118" t="s">
        <v>134</v>
      </c>
      <c r="M117" s="119"/>
      <c r="N117" s="120" t="s">
        <v>56</v>
      </c>
      <c r="O117" s="120"/>
      <c r="P117" s="120"/>
    </row>
    <row r="118" spans="2:16" ht="18">
      <c r="B118" s="116">
        <v>2026</v>
      </c>
      <c r="C118" s="116">
        <v>21</v>
      </c>
      <c r="D118" s="169">
        <v>43</v>
      </c>
      <c r="E118" s="116">
        <v>1</v>
      </c>
      <c r="F118" s="116">
        <v>1</v>
      </c>
      <c r="G118" s="116">
        <v>2</v>
      </c>
      <c r="H118" s="116">
        <v>2000</v>
      </c>
      <c r="I118" s="116">
        <v>2800</v>
      </c>
      <c r="J118" s="116">
        <v>283</v>
      </c>
      <c r="K118" s="117">
        <v>1164</v>
      </c>
      <c r="L118" s="118" t="s">
        <v>135</v>
      </c>
      <c r="M118" s="119"/>
      <c r="N118" s="120" t="s">
        <v>58</v>
      </c>
      <c r="O118" s="120"/>
      <c r="P118" s="120"/>
    </row>
    <row r="119" spans="2:16" ht="18">
      <c r="B119" s="116">
        <v>2026</v>
      </c>
      <c r="C119" s="116">
        <v>21</v>
      </c>
      <c r="D119" s="169">
        <v>43</v>
      </c>
      <c r="E119" s="116">
        <v>1</v>
      </c>
      <c r="F119" s="116">
        <v>1</v>
      </c>
      <c r="G119" s="116">
        <v>2</v>
      </c>
      <c r="H119" s="116">
        <v>2000</v>
      </c>
      <c r="I119" s="116">
        <v>2800</v>
      </c>
      <c r="J119" s="116">
        <v>283</v>
      </c>
      <c r="K119" s="117">
        <v>1165</v>
      </c>
      <c r="L119" s="118" t="s">
        <v>136</v>
      </c>
      <c r="M119" s="119"/>
      <c r="N119" s="120" t="s">
        <v>56</v>
      </c>
      <c r="O119" s="120"/>
      <c r="P119" s="120"/>
    </row>
    <row r="120" spans="2:16" ht="18">
      <c r="B120" s="116">
        <v>2026</v>
      </c>
      <c r="C120" s="116">
        <v>21</v>
      </c>
      <c r="D120" s="169">
        <v>43</v>
      </c>
      <c r="E120" s="116">
        <v>1</v>
      </c>
      <c r="F120" s="116">
        <v>1</v>
      </c>
      <c r="G120" s="116">
        <v>2</v>
      </c>
      <c r="H120" s="116">
        <v>2000</v>
      </c>
      <c r="I120" s="116">
        <v>2800</v>
      </c>
      <c r="J120" s="116">
        <v>283</v>
      </c>
      <c r="K120" s="117">
        <v>1229</v>
      </c>
      <c r="L120" s="118" t="s">
        <v>137</v>
      </c>
      <c r="M120" s="119"/>
      <c r="N120" s="120" t="s">
        <v>58</v>
      </c>
      <c r="O120" s="120"/>
      <c r="P120" s="120"/>
    </row>
    <row r="121" spans="2:16" ht="18">
      <c r="B121" s="116">
        <v>2026</v>
      </c>
      <c r="C121" s="116">
        <v>21</v>
      </c>
      <c r="D121" s="169">
        <v>43</v>
      </c>
      <c r="E121" s="116">
        <v>1</v>
      </c>
      <c r="F121" s="116">
        <v>1</v>
      </c>
      <c r="G121" s="116">
        <v>2</v>
      </c>
      <c r="H121" s="116">
        <v>2000</v>
      </c>
      <c r="I121" s="116">
        <v>2800</v>
      </c>
      <c r="J121" s="116">
        <v>283</v>
      </c>
      <c r="K121" s="117">
        <v>1322</v>
      </c>
      <c r="L121" s="118" t="s">
        <v>138</v>
      </c>
      <c r="M121" s="119"/>
      <c r="N121" s="120" t="s">
        <v>56</v>
      </c>
      <c r="O121" s="120"/>
      <c r="P121" s="120"/>
    </row>
    <row r="122" spans="2:16" ht="18">
      <c r="B122" s="116">
        <v>2026</v>
      </c>
      <c r="C122" s="116">
        <v>21</v>
      </c>
      <c r="D122" s="169">
        <v>43</v>
      </c>
      <c r="E122" s="116">
        <v>1</v>
      </c>
      <c r="F122" s="116">
        <v>1</v>
      </c>
      <c r="G122" s="116">
        <v>2</v>
      </c>
      <c r="H122" s="116">
        <v>2000</v>
      </c>
      <c r="I122" s="116">
        <v>2800</v>
      </c>
      <c r="J122" s="116">
        <v>283</v>
      </c>
      <c r="K122" s="117">
        <v>1450</v>
      </c>
      <c r="L122" s="118" t="s">
        <v>139</v>
      </c>
      <c r="M122" s="119"/>
      <c r="N122" s="120" t="s">
        <v>56</v>
      </c>
      <c r="O122" s="120"/>
      <c r="P122" s="120"/>
    </row>
    <row r="123" spans="2:16" ht="18">
      <c r="B123" s="116">
        <v>2026</v>
      </c>
      <c r="C123" s="116">
        <v>21</v>
      </c>
      <c r="D123" s="169">
        <v>43</v>
      </c>
      <c r="E123" s="116">
        <v>1</v>
      </c>
      <c r="F123" s="116">
        <v>1</v>
      </c>
      <c r="G123" s="116">
        <v>2</v>
      </c>
      <c r="H123" s="116">
        <v>2000</v>
      </c>
      <c r="I123" s="116">
        <v>2800</v>
      </c>
      <c r="J123" s="116">
        <v>283</v>
      </c>
      <c r="K123" s="117">
        <v>1451</v>
      </c>
      <c r="L123" s="118" t="s">
        <v>140</v>
      </c>
      <c r="M123" s="119"/>
      <c r="N123" s="120" t="s">
        <v>56</v>
      </c>
      <c r="O123" s="120"/>
      <c r="P123" s="120"/>
    </row>
    <row r="124" spans="2:16" ht="18">
      <c r="B124" s="116">
        <v>2026</v>
      </c>
      <c r="C124" s="116">
        <v>21</v>
      </c>
      <c r="D124" s="169">
        <v>43</v>
      </c>
      <c r="E124" s="116">
        <v>1</v>
      </c>
      <c r="F124" s="116">
        <v>1</v>
      </c>
      <c r="G124" s="116">
        <v>2</v>
      </c>
      <c r="H124" s="116">
        <v>2000</v>
      </c>
      <c r="I124" s="116">
        <v>2800</v>
      </c>
      <c r="J124" s="116">
        <v>283</v>
      </c>
      <c r="K124" s="117">
        <v>84</v>
      </c>
      <c r="L124" s="118" t="s">
        <v>141</v>
      </c>
      <c r="M124" s="119"/>
      <c r="N124" s="120" t="s">
        <v>56</v>
      </c>
      <c r="O124" s="120"/>
      <c r="P124" s="120"/>
    </row>
    <row r="125" spans="2:16" ht="18">
      <c r="B125" s="116">
        <v>2026</v>
      </c>
      <c r="C125" s="116">
        <v>21</v>
      </c>
      <c r="D125" s="169">
        <v>43</v>
      </c>
      <c r="E125" s="116">
        <v>1</v>
      </c>
      <c r="F125" s="116">
        <v>1</v>
      </c>
      <c r="G125" s="116">
        <v>2</v>
      </c>
      <c r="H125" s="116">
        <v>2000</v>
      </c>
      <c r="I125" s="116">
        <v>2800</v>
      </c>
      <c r="J125" s="116">
        <v>283</v>
      </c>
      <c r="K125" s="117">
        <v>1106</v>
      </c>
      <c r="L125" s="118" t="s">
        <v>142</v>
      </c>
      <c r="M125" s="119"/>
      <c r="N125" s="120" t="s">
        <v>56</v>
      </c>
      <c r="O125" s="120"/>
      <c r="P125" s="120"/>
    </row>
    <row r="126" spans="2:16" ht="18">
      <c r="B126" s="116">
        <v>2026</v>
      </c>
      <c r="C126" s="116">
        <v>21</v>
      </c>
      <c r="D126" s="169">
        <v>43</v>
      </c>
      <c r="E126" s="116">
        <v>1</v>
      </c>
      <c r="F126" s="116">
        <v>1</v>
      </c>
      <c r="G126" s="116">
        <v>2</v>
      </c>
      <c r="H126" s="116">
        <v>2000</v>
      </c>
      <c r="I126" s="116">
        <v>2800</v>
      </c>
      <c r="J126" s="116">
        <v>283</v>
      </c>
      <c r="K126" s="117">
        <v>1459</v>
      </c>
      <c r="L126" s="118" t="s">
        <v>143</v>
      </c>
      <c r="M126" s="119"/>
      <c r="N126" s="120" t="s">
        <v>56</v>
      </c>
      <c r="O126" s="120"/>
      <c r="P126" s="120"/>
    </row>
    <row r="127" spans="2:16" ht="18">
      <c r="B127" s="116">
        <v>2026</v>
      </c>
      <c r="C127" s="116">
        <v>21</v>
      </c>
      <c r="D127" s="169">
        <v>43</v>
      </c>
      <c r="E127" s="116">
        <v>1</v>
      </c>
      <c r="F127" s="116">
        <v>1</v>
      </c>
      <c r="G127" s="116">
        <v>2</v>
      </c>
      <c r="H127" s="116">
        <v>2000</v>
      </c>
      <c r="I127" s="116">
        <v>2800</v>
      </c>
      <c r="J127" s="116">
        <v>283</v>
      </c>
      <c r="K127" s="117">
        <v>70</v>
      </c>
      <c r="L127" s="118" t="s">
        <v>144</v>
      </c>
      <c r="M127" s="119"/>
      <c r="N127" s="120" t="s">
        <v>56</v>
      </c>
      <c r="O127" s="120"/>
      <c r="P127" s="120"/>
    </row>
    <row r="128" spans="2:16" ht="36">
      <c r="B128" s="110">
        <v>2026</v>
      </c>
      <c r="C128" s="110">
        <v>21</v>
      </c>
      <c r="D128" s="168">
        <v>43</v>
      </c>
      <c r="E128" s="110">
        <v>1</v>
      </c>
      <c r="F128" s="110">
        <v>1</v>
      </c>
      <c r="G128" s="110">
        <v>2</v>
      </c>
      <c r="H128" s="110">
        <v>2000</v>
      </c>
      <c r="I128" s="110">
        <v>2900</v>
      </c>
      <c r="J128" s="110">
        <v>294</v>
      </c>
      <c r="K128" s="111"/>
      <c r="L128" s="123" t="s">
        <v>145</v>
      </c>
      <c r="M128" s="112">
        <f>SUBTOTAL(9,M129)</f>
        <v>0</v>
      </c>
      <c r="N128" s="113"/>
      <c r="O128" s="114"/>
      <c r="P128" s="115"/>
    </row>
    <row r="129" spans="1:16" ht="18">
      <c r="B129" s="116">
        <v>2026</v>
      </c>
      <c r="C129" s="116">
        <v>21</v>
      </c>
      <c r="D129" s="169">
        <v>43</v>
      </c>
      <c r="E129" s="116">
        <v>1</v>
      </c>
      <c r="F129" s="116">
        <v>1</v>
      </c>
      <c r="G129" s="116">
        <v>2</v>
      </c>
      <c r="H129" s="116">
        <v>2000</v>
      </c>
      <c r="I129" s="116">
        <v>2900</v>
      </c>
      <c r="J129" s="116">
        <v>294</v>
      </c>
      <c r="K129" s="117">
        <v>1196</v>
      </c>
      <c r="L129" s="118" t="s">
        <v>146</v>
      </c>
      <c r="M129" s="119"/>
      <c r="N129" s="120" t="s">
        <v>42</v>
      </c>
      <c r="O129" s="121"/>
      <c r="P129" s="121"/>
    </row>
    <row r="130" spans="1:16" s="58" customFormat="1" ht="18">
      <c r="A130"/>
      <c r="B130" s="110">
        <v>2026</v>
      </c>
      <c r="C130" s="110">
        <v>21</v>
      </c>
      <c r="D130" s="168">
        <v>43</v>
      </c>
      <c r="E130" s="110">
        <v>1</v>
      </c>
      <c r="F130" s="110">
        <v>1</v>
      </c>
      <c r="G130" s="110">
        <v>2</v>
      </c>
      <c r="H130" s="110">
        <v>2000</v>
      </c>
      <c r="I130" s="110">
        <v>2900</v>
      </c>
      <c r="J130" s="110">
        <v>297</v>
      </c>
      <c r="K130" s="111"/>
      <c r="L130" s="123" t="s">
        <v>147</v>
      </c>
      <c r="M130" s="112">
        <f>SUBTOTAL(9,M131:M132)</f>
        <v>0</v>
      </c>
      <c r="N130" s="113"/>
      <c r="O130" s="114"/>
      <c r="P130" s="115"/>
    </row>
    <row r="131" spans="1:16" s="58" customFormat="1" ht="18">
      <c r="A131"/>
      <c r="B131" s="116">
        <v>2026</v>
      </c>
      <c r="C131" s="116">
        <v>21</v>
      </c>
      <c r="D131" s="169">
        <v>43</v>
      </c>
      <c r="E131" s="116">
        <v>1</v>
      </c>
      <c r="F131" s="116">
        <v>1</v>
      </c>
      <c r="G131" s="116">
        <v>2</v>
      </c>
      <c r="H131" s="116">
        <v>2000</v>
      </c>
      <c r="I131" s="116">
        <v>2900</v>
      </c>
      <c r="J131" s="116">
        <v>297</v>
      </c>
      <c r="K131" s="117">
        <v>803</v>
      </c>
      <c r="L131" s="118" t="s">
        <v>148</v>
      </c>
      <c r="M131" s="119"/>
      <c r="N131" s="120" t="s">
        <v>149</v>
      </c>
      <c r="O131" s="120"/>
      <c r="P131" s="120"/>
    </row>
    <row r="132" spans="1:16" s="58" customFormat="1" ht="18">
      <c r="A132"/>
      <c r="B132" s="116">
        <v>2026</v>
      </c>
      <c r="C132" s="116">
        <v>21</v>
      </c>
      <c r="D132" s="169">
        <v>43</v>
      </c>
      <c r="E132" s="116">
        <v>1</v>
      </c>
      <c r="F132" s="116">
        <v>1</v>
      </c>
      <c r="G132" s="116">
        <v>2</v>
      </c>
      <c r="H132" s="116">
        <v>2000</v>
      </c>
      <c r="I132" s="116">
        <v>2900</v>
      </c>
      <c r="J132" s="116">
        <v>297</v>
      </c>
      <c r="K132" s="117">
        <v>390</v>
      </c>
      <c r="L132" s="118" t="s">
        <v>150</v>
      </c>
      <c r="M132" s="119"/>
      <c r="N132" s="120" t="s">
        <v>56</v>
      </c>
      <c r="O132" s="120"/>
      <c r="P132" s="120"/>
    </row>
    <row r="133" spans="1:16" s="58" customFormat="1" ht="18">
      <c r="A133"/>
      <c r="B133" s="96">
        <v>2026</v>
      </c>
      <c r="C133" s="96">
        <v>21</v>
      </c>
      <c r="D133" s="166">
        <v>43</v>
      </c>
      <c r="E133" s="96">
        <v>1</v>
      </c>
      <c r="F133" s="96">
        <v>1</v>
      </c>
      <c r="G133" s="96">
        <v>2</v>
      </c>
      <c r="H133" s="96">
        <v>3000</v>
      </c>
      <c r="I133" s="96"/>
      <c r="J133" s="96"/>
      <c r="K133" s="126"/>
      <c r="L133" s="98" t="s">
        <v>24</v>
      </c>
      <c r="M133" s="99">
        <f>+M134+M139+M142</f>
        <v>0</v>
      </c>
      <c r="N133" s="100"/>
      <c r="O133" s="101"/>
      <c r="P133" s="102"/>
    </row>
    <row r="134" spans="1:16" s="58" customFormat="1" ht="18">
      <c r="A134"/>
      <c r="B134" s="103">
        <v>2026</v>
      </c>
      <c r="C134" s="103">
        <v>21</v>
      </c>
      <c r="D134" s="167">
        <v>43</v>
      </c>
      <c r="E134" s="103">
        <v>1</v>
      </c>
      <c r="F134" s="103">
        <v>1</v>
      </c>
      <c r="G134" s="103">
        <v>2</v>
      </c>
      <c r="H134" s="103">
        <v>3000</v>
      </c>
      <c r="I134" s="103">
        <v>3100</v>
      </c>
      <c r="J134" s="103"/>
      <c r="K134" s="104"/>
      <c r="L134" s="105" t="s">
        <v>151</v>
      </c>
      <c r="M134" s="106">
        <f>+M135+M137</f>
        <v>0</v>
      </c>
      <c r="N134" s="107"/>
      <c r="O134" s="108"/>
      <c r="P134" s="109"/>
    </row>
    <row r="135" spans="1:16" s="58" customFormat="1" ht="18">
      <c r="A135"/>
      <c r="B135" s="110">
        <v>2026</v>
      </c>
      <c r="C135" s="110">
        <v>21</v>
      </c>
      <c r="D135" s="168">
        <v>43</v>
      </c>
      <c r="E135" s="110">
        <v>1</v>
      </c>
      <c r="F135" s="110">
        <v>1</v>
      </c>
      <c r="G135" s="110">
        <v>2</v>
      </c>
      <c r="H135" s="110">
        <v>3000</v>
      </c>
      <c r="I135" s="110">
        <v>3100</v>
      </c>
      <c r="J135" s="110">
        <v>311</v>
      </c>
      <c r="K135" s="110"/>
      <c r="L135" s="123" t="s">
        <v>152</v>
      </c>
      <c r="M135" s="112">
        <f>+M136</f>
        <v>0</v>
      </c>
      <c r="N135" s="113"/>
      <c r="O135" s="113"/>
      <c r="P135" s="113"/>
    </row>
    <row r="136" spans="1:16" s="58" customFormat="1" ht="18">
      <c r="A136"/>
      <c r="B136" s="116">
        <v>2026</v>
      </c>
      <c r="C136" s="116">
        <v>21</v>
      </c>
      <c r="D136" s="169">
        <v>43</v>
      </c>
      <c r="E136" s="116">
        <v>1</v>
      </c>
      <c r="F136" s="116">
        <v>1</v>
      </c>
      <c r="G136" s="116">
        <v>2</v>
      </c>
      <c r="H136" s="116">
        <v>3000</v>
      </c>
      <c r="I136" s="116">
        <v>3100</v>
      </c>
      <c r="J136" s="116">
        <v>311</v>
      </c>
      <c r="K136" s="117">
        <v>1264</v>
      </c>
      <c r="L136" s="128" t="s">
        <v>153</v>
      </c>
      <c r="M136" s="119"/>
      <c r="N136" s="120" t="s">
        <v>28</v>
      </c>
      <c r="O136" s="120"/>
      <c r="P136" s="120"/>
    </row>
    <row r="137" spans="1:16" s="58" customFormat="1" ht="18">
      <c r="A137"/>
      <c r="B137" s="110">
        <v>2026</v>
      </c>
      <c r="C137" s="110">
        <v>21</v>
      </c>
      <c r="D137" s="168">
        <v>43</v>
      </c>
      <c r="E137" s="110">
        <v>1</v>
      </c>
      <c r="F137" s="110">
        <v>1</v>
      </c>
      <c r="G137" s="110">
        <v>2</v>
      </c>
      <c r="H137" s="110">
        <v>3000</v>
      </c>
      <c r="I137" s="110">
        <v>3100</v>
      </c>
      <c r="J137" s="110">
        <v>317</v>
      </c>
      <c r="K137" s="111"/>
      <c r="L137" s="123" t="s">
        <v>154</v>
      </c>
      <c r="M137" s="112">
        <f>SUM(M138:M138)</f>
        <v>0</v>
      </c>
      <c r="N137" s="113"/>
      <c r="O137" s="114"/>
      <c r="P137" s="115"/>
    </row>
    <row r="138" spans="1:16" s="58" customFormat="1" ht="18">
      <c r="A138"/>
      <c r="B138" s="116">
        <v>2026</v>
      </c>
      <c r="C138" s="116">
        <v>21</v>
      </c>
      <c r="D138" s="169">
        <v>43</v>
      </c>
      <c r="E138" s="116">
        <v>1</v>
      </c>
      <c r="F138" s="116">
        <v>1</v>
      </c>
      <c r="G138" s="116">
        <v>2</v>
      </c>
      <c r="H138" s="116">
        <v>3000</v>
      </c>
      <c r="I138" s="116">
        <v>3100</v>
      </c>
      <c r="J138" s="116">
        <v>317</v>
      </c>
      <c r="K138" s="117">
        <v>1271</v>
      </c>
      <c r="L138" s="128" t="s">
        <v>155</v>
      </c>
      <c r="M138" s="119"/>
      <c r="N138" s="120" t="s">
        <v>28</v>
      </c>
      <c r="O138" s="121"/>
      <c r="P138" s="121"/>
    </row>
    <row r="139" spans="1:16" ht="18">
      <c r="B139" s="103">
        <v>2026</v>
      </c>
      <c r="C139" s="103">
        <v>21</v>
      </c>
      <c r="D139" s="167">
        <v>43</v>
      </c>
      <c r="E139" s="103">
        <v>1</v>
      </c>
      <c r="F139" s="103">
        <v>1</v>
      </c>
      <c r="G139" s="103">
        <v>2</v>
      </c>
      <c r="H139" s="103">
        <v>3000</v>
      </c>
      <c r="I139" s="103">
        <v>3200</v>
      </c>
      <c r="J139" s="103"/>
      <c r="K139" s="104"/>
      <c r="L139" s="105" t="s">
        <v>156</v>
      </c>
      <c r="M139" s="106">
        <f>+M140</f>
        <v>0</v>
      </c>
      <c r="N139" s="103"/>
      <c r="O139" s="108"/>
      <c r="P139" s="109"/>
    </row>
    <row r="140" spans="1:16" ht="36">
      <c r="B140" s="110">
        <v>2026</v>
      </c>
      <c r="C140" s="110">
        <v>21</v>
      </c>
      <c r="D140" s="168">
        <v>43</v>
      </c>
      <c r="E140" s="110">
        <v>1</v>
      </c>
      <c r="F140" s="110">
        <v>1</v>
      </c>
      <c r="G140" s="110">
        <v>2</v>
      </c>
      <c r="H140" s="110">
        <v>3000</v>
      </c>
      <c r="I140" s="110">
        <v>3200</v>
      </c>
      <c r="J140" s="110">
        <v>323</v>
      </c>
      <c r="K140" s="110"/>
      <c r="L140" s="123" t="s">
        <v>157</v>
      </c>
      <c r="M140" s="112">
        <f>+M141</f>
        <v>0</v>
      </c>
      <c r="N140" s="113"/>
      <c r="O140" s="113"/>
      <c r="P140" s="113"/>
    </row>
    <row r="141" spans="1:16" ht="36">
      <c r="B141" s="116">
        <v>2026</v>
      </c>
      <c r="C141" s="116">
        <v>21</v>
      </c>
      <c r="D141" s="169">
        <v>43</v>
      </c>
      <c r="E141" s="116">
        <v>1</v>
      </c>
      <c r="F141" s="116">
        <v>1</v>
      </c>
      <c r="G141" s="116">
        <v>2</v>
      </c>
      <c r="H141" s="116">
        <v>3000</v>
      </c>
      <c r="I141" s="116">
        <v>3200</v>
      </c>
      <c r="J141" s="116">
        <v>323</v>
      </c>
      <c r="K141" s="117">
        <v>77</v>
      </c>
      <c r="L141" s="128" t="s">
        <v>157</v>
      </c>
      <c r="M141" s="119"/>
      <c r="N141" s="120" t="s">
        <v>28</v>
      </c>
      <c r="O141" s="120"/>
      <c r="P141" s="120"/>
    </row>
    <row r="142" spans="1:16" ht="18">
      <c r="B142" s="103">
        <v>2026</v>
      </c>
      <c r="C142" s="103">
        <v>21</v>
      </c>
      <c r="D142" s="167">
        <v>43</v>
      </c>
      <c r="E142" s="103">
        <v>1</v>
      </c>
      <c r="F142" s="103">
        <v>1</v>
      </c>
      <c r="G142" s="103">
        <v>2</v>
      </c>
      <c r="H142" s="103">
        <v>3000</v>
      </c>
      <c r="I142" s="103">
        <v>3500</v>
      </c>
      <c r="J142" s="103"/>
      <c r="K142" s="104"/>
      <c r="L142" s="105" t="s">
        <v>158</v>
      </c>
      <c r="M142" s="106">
        <f>+M143</f>
        <v>0</v>
      </c>
      <c r="N142" s="107"/>
      <c r="O142" s="108"/>
      <c r="P142" s="109"/>
    </row>
    <row r="143" spans="1:16" ht="36">
      <c r="B143" s="110">
        <v>2026</v>
      </c>
      <c r="C143" s="110">
        <v>21</v>
      </c>
      <c r="D143" s="168">
        <v>43</v>
      </c>
      <c r="E143" s="110">
        <v>1</v>
      </c>
      <c r="F143" s="110">
        <v>1</v>
      </c>
      <c r="G143" s="110">
        <v>2</v>
      </c>
      <c r="H143" s="110">
        <v>3000</v>
      </c>
      <c r="I143" s="110">
        <v>3500</v>
      </c>
      <c r="J143" s="110">
        <v>357</v>
      </c>
      <c r="K143" s="110"/>
      <c r="L143" s="123" t="s">
        <v>159</v>
      </c>
      <c r="M143" s="112">
        <f>+M144</f>
        <v>0</v>
      </c>
      <c r="N143" s="113"/>
      <c r="O143" s="113"/>
      <c r="P143" s="113"/>
    </row>
    <row r="144" spans="1:16" ht="18">
      <c r="B144" s="116">
        <v>2026</v>
      </c>
      <c r="C144" s="116">
        <v>21</v>
      </c>
      <c r="D144" s="169">
        <v>43</v>
      </c>
      <c r="E144" s="116">
        <v>1</v>
      </c>
      <c r="F144" s="116">
        <v>1</v>
      </c>
      <c r="G144" s="116">
        <v>2</v>
      </c>
      <c r="H144" s="116">
        <v>3000</v>
      </c>
      <c r="I144" s="116">
        <v>3500</v>
      </c>
      <c r="J144" s="116">
        <v>357</v>
      </c>
      <c r="K144" s="117">
        <v>895</v>
      </c>
      <c r="L144" s="128" t="s">
        <v>160</v>
      </c>
      <c r="M144" s="119"/>
      <c r="N144" s="120" t="s">
        <v>28</v>
      </c>
      <c r="O144" s="120"/>
      <c r="P144" s="120"/>
    </row>
    <row r="145" spans="2:16" ht="18">
      <c r="B145" s="96">
        <v>2026</v>
      </c>
      <c r="C145" s="96">
        <v>21</v>
      </c>
      <c r="D145" s="166">
        <v>43</v>
      </c>
      <c r="E145" s="96">
        <v>1</v>
      </c>
      <c r="F145" s="96">
        <v>1</v>
      </c>
      <c r="G145" s="96">
        <v>2</v>
      </c>
      <c r="H145" s="96">
        <v>5000</v>
      </c>
      <c r="I145" s="96"/>
      <c r="J145" s="96"/>
      <c r="K145" s="97"/>
      <c r="L145" s="98" t="s">
        <v>161</v>
      </c>
      <c r="M145" s="99">
        <f>+M146+M198+M252+M259+M277+M283</f>
        <v>0</v>
      </c>
      <c r="N145" s="100"/>
      <c r="O145" s="129"/>
      <c r="P145" s="130"/>
    </row>
    <row r="146" spans="2:16" ht="18">
      <c r="B146" s="103">
        <v>2026</v>
      </c>
      <c r="C146" s="103">
        <v>21</v>
      </c>
      <c r="D146" s="167">
        <v>43</v>
      </c>
      <c r="E146" s="103">
        <v>1</v>
      </c>
      <c r="F146" s="103">
        <v>1</v>
      </c>
      <c r="G146" s="103">
        <v>2</v>
      </c>
      <c r="H146" s="103">
        <v>5000</v>
      </c>
      <c r="I146" s="103">
        <v>5100</v>
      </c>
      <c r="J146" s="104"/>
      <c r="K146" s="104"/>
      <c r="L146" s="105" t="s">
        <v>162</v>
      </c>
      <c r="M146" s="106">
        <f>+M147+M170+M186</f>
        <v>0</v>
      </c>
      <c r="N146" s="107"/>
      <c r="O146" s="107"/>
      <c r="P146" s="107"/>
    </row>
    <row r="147" spans="2:16" ht="18">
      <c r="B147" s="110">
        <v>2026</v>
      </c>
      <c r="C147" s="110">
        <v>21</v>
      </c>
      <c r="D147" s="168">
        <v>43</v>
      </c>
      <c r="E147" s="110">
        <v>1</v>
      </c>
      <c r="F147" s="110">
        <v>1</v>
      </c>
      <c r="G147" s="110">
        <v>2</v>
      </c>
      <c r="H147" s="110">
        <v>5000</v>
      </c>
      <c r="I147" s="110">
        <v>5100</v>
      </c>
      <c r="J147" s="110">
        <v>511</v>
      </c>
      <c r="K147" s="110"/>
      <c r="L147" s="123" t="s">
        <v>163</v>
      </c>
      <c r="M147" s="112">
        <f>SUBTOTAL(9,M148:M169)</f>
        <v>0</v>
      </c>
      <c r="N147" s="113"/>
      <c r="O147" s="113"/>
      <c r="P147" s="113"/>
    </row>
    <row r="148" spans="2:16" ht="18">
      <c r="B148" s="116">
        <v>2026</v>
      </c>
      <c r="C148" s="116">
        <v>21</v>
      </c>
      <c r="D148" s="169">
        <v>43</v>
      </c>
      <c r="E148" s="116">
        <v>1</v>
      </c>
      <c r="F148" s="116">
        <v>1</v>
      </c>
      <c r="G148" s="116">
        <v>2</v>
      </c>
      <c r="H148" s="116">
        <v>5000</v>
      </c>
      <c r="I148" s="116">
        <v>5100</v>
      </c>
      <c r="J148" s="116">
        <v>511</v>
      </c>
      <c r="K148" s="117">
        <v>33</v>
      </c>
      <c r="L148" s="118" t="s">
        <v>164</v>
      </c>
      <c r="M148" s="119"/>
      <c r="N148" s="120" t="s">
        <v>56</v>
      </c>
      <c r="O148" s="120"/>
      <c r="P148" s="120"/>
    </row>
    <row r="149" spans="2:16" ht="18">
      <c r="B149" s="116">
        <v>2026</v>
      </c>
      <c r="C149" s="116">
        <v>21</v>
      </c>
      <c r="D149" s="169">
        <v>43</v>
      </c>
      <c r="E149" s="116">
        <v>1</v>
      </c>
      <c r="F149" s="116">
        <v>1</v>
      </c>
      <c r="G149" s="116">
        <v>2</v>
      </c>
      <c r="H149" s="116">
        <v>5000</v>
      </c>
      <c r="I149" s="116">
        <v>5100</v>
      </c>
      <c r="J149" s="116">
        <v>511</v>
      </c>
      <c r="K149" s="117">
        <v>55</v>
      </c>
      <c r="L149" s="118" t="s">
        <v>165</v>
      </c>
      <c r="M149" s="119"/>
      <c r="N149" s="120" t="s">
        <v>56</v>
      </c>
      <c r="O149" s="120"/>
      <c r="P149" s="120"/>
    </row>
    <row r="150" spans="2:16" ht="18">
      <c r="B150" s="116">
        <v>2026</v>
      </c>
      <c r="C150" s="116">
        <v>21</v>
      </c>
      <c r="D150" s="169">
        <v>43</v>
      </c>
      <c r="E150" s="116">
        <v>1</v>
      </c>
      <c r="F150" s="116">
        <v>1</v>
      </c>
      <c r="G150" s="116">
        <v>2</v>
      </c>
      <c r="H150" s="116">
        <v>5000</v>
      </c>
      <c r="I150" s="116">
        <v>5100</v>
      </c>
      <c r="J150" s="116">
        <v>511</v>
      </c>
      <c r="K150" s="117">
        <v>97</v>
      </c>
      <c r="L150" s="118" t="s">
        <v>166</v>
      </c>
      <c r="M150" s="119"/>
      <c r="N150" s="120" t="s">
        <v>56</v>
      </c>
      <c r="O150" s="120"/>
      <c r="P150" s="120"/>
    </row>
    <row r="151" spans="2:16" ht="18">
      <c r="B151" s="116">
        <v>2026</v>
      </c>
      <c r="C151" s="116">
        <v>21</v>
      </c>
      <c r="D151" s="169">
        <v>43</v>
      </c>
      <c r="E151" s="116">
        <v>1</v>
      </c>
      <c r="F151" s="116">
        <v>1</v>
      </c>
      <c r="G151" s="116">
        <v>2</v>
      </c>
      <c r="H151" s="116">
        <v>5000</v>
      </c>
      <c r="I151" s="116">
        <v>5100</v>
      </c>
      <c r="J151" s="116">
        <v>511</v>
      </c>
      <c r="K151" s="117">
        <v>170</v>
      </c>
      <c r="L151" s="118" t="s">
        <v>167</v>
      </c>
      <c r="M151" s="119"/>
      <c r="N151" s="120" t="s">
        <v>56</v>
      </c>
      <c r="O151" s="120"/>
      <c r="P151" s="120"/>
    </row>
    <row r="152" spans="2:16" ht="18">
      <c r="B152" s="116">
        <v>2026</v>
      </c>
      <c r="C152" s="116">
        <v>21</v>
      </c>
      <c r="D152" s="169">
        <v>43</v>
      </c>
      <c r="E152" s="116">
        <v>1</v>
      </c>
      <c r="F152" s="116">
        <v>1</v>
      </c>
      <c r="G152" s="116">
        <v>2</v>
      </c>
      <c r="H152" s="116">
        <v>5000</v>
      </c>
      <c r="I152" s="116">
        <v>5100</v>
      </c>
      <c r="J152" s="116">
        <v>511</v>
      </c>
      <c r="K152" s="117">
        <v>400</v>
      </c>
      <c r="L152" s="118" t="s">
        <v>168</v>
      </c>
      <c r="M152" s="119"/>
      <c r="N152" s="120" t="s">
        <v>56</v>
      </c>
      <c r="O152" s="120"/>
      <c r="P152" s="120"/>
    </row>
    <row r="153" spans="2:16" ht="18">
      <c r="B153" s="116">
        <v>2026</v>
      </c>
      <c r="C153" s="116">
        <v>21</v>
      </c>
      <c r="D153" s="169">
        <v>43</v>
      </c>
      <c r="E153" s="116">
        <v>1</v>
      </c>
      <c r="F153" s="116">
        <v>1</v>
      </c>
      <c r="G153" s="116">
        <v>2</v>
      </c>
      <c r="H153" s="116">
        <v>5000</v>
      </c>
      <c r="I153" s="116">
        <v>5100</v>
      </c>
      <c r="J153" s="116">
        <v>511</v>
      </c>
      <c r="K153" s="117">
        <v>599</v>
      </c>
      <c r="L153" s="118" t="s">
        <v>169</v>
      </c>
      <c r="M153" s="119"/>
      <c r="N153" s="120" t="s">
        <v>56</v>
      </c>
      <c r="O153" s="120"/>
      <c r="P153" s="120"/>
    </row>
    <row r="154" spans="2:16" ht="18">
      <c r="B154" s="116">
        <v>2026</v>
      </c>
      <c r="C154" s="116">
        <v>21</v>
      </c>
      <c r="D154" s="169">
        <v>43</v>
      </c>
      <c r="E154" s="116">
        <v>1</v>
      </c>
      <c r="F154" s="116">
        <v>1</v>
      </c>
      <c r="G154" s="116">
        <v>2</v>
      </c>
      <c r="H154" s="116">
        <v>5000</v>
      </c>
      <c r="I154" s="116">
        <v>5100</v>
      </c>
      <c r="J154" s="116">
        <v>511</v>
      </c>
      <c r="K154" s="117">
        <v>639</v>
      </c>
      <c r="L154" s="118" t="s">
        <v>170</v>
      </c>
      <c r="M154" s="119"/>
      <c r="N154" s="120" t="s">
        <v>56</v>
      </c>
      <c r="O154" s="120"/>
      <c r="P154" s="120"/>
    </row>
    <row r="155" spans="2:16" ht="18">
      <c r="B155" s="116">
        <v>2026</v>
      </c>
      <c r="C155" s="116">
        <v>21</v>
      </c>
      <c r="D155" s="169">
        <v>43</v>
      </c>
      <c r="E155" s="116">
        <v>1</v>
      </c>
      <c r="F155" s="116">
        <v>1</v>
      </c>
      <c r="G155" s="116">
        <v>2</v>
      </c>
      <c r="H155" s="116">
        <v>5000</v>
      </c>
      <c r="I155" s="116">
        <v>5100</v>
      </c>
      <c r="J155" s="116">
        <v>511</v>
      </c>
      <c r="K155" s="117">
        <v>687</v>
      </c>
      <c r="L155" s="118" t="s">
        <v>171</v>
      </c>
      <c r="M155" s="119"/>
      <c r="N155" s="120" t="s">
        <v>56</v>
      </c>
      <c r="O155" s="120"/>
      <c r="P155" s="120"/>
    </row>
    <row r="156" spans="2:16" ht="18">
      <c r="B156" s="116">
        <v>2026</v>
      </c>
      <c r="C156" s="116">
        <v>21</v>
      </c>
      <c r="D156" s="169">
        <v>43</v>
      </c>
      <c r="E156" s="116">
        <v>1</v>
      </c>
      <c r="F156" s="116">
        <v>1</v>
      </c>
      <c r="G156" s="116">
        <v>2</v>
      </c>
      <c r="H156" s="116">
        <v>5000</v>
      </c>
      <c r="I156" s="116">
        <v>5100</v>
      </c>
      <c r="J156" s="116">
        <v>511</v>
      </c>
      <c r="K156" s="117">
        <v>705</v>
      </c>
      <c r="L156" s="118" t="s">
        <v>172</v>
      </c>
      <c r="M156" s="119"/>
      <c r="N156" s="120" t="s">
        <v>56</v>
      </c>
      <c r="O156" s="120"/>
      <c r="P156" s="120"/>
    </row>
    <row r="157" spans="2:16" ht="18">
      <c r="B157" s="116">
        <v>2026</v>
      </c>
      <c r="C157" s="116">
        <v>21</v>
      </c>
      <c r="D157" s="169">
        <v>43</v>
      </c>
      <c r="E157" s="116">
        <v>1</v>
      </c>
      <c r="F157" s="116">
        <v>1</v>
      </c>
      <c r="G157" s="116">
        <v>2</v>
      </c>
      <c r="H157" s="116">
        <v>5000</v>
      </c>
      <c r="I157" s="116">
        <v>5100</v>
      </c>
      <c r="J157" s="116">
        <v>511</v>
      </c>
      <c r="K157" s="117">
        <v>848</v>
      </c>
      <c r="L157" s="118" t="s">
        <v>173</v>
      </c>
      <c r="M157" s="119"/>
      <c r="N157" s="120" t="s">
        <v>56</v>
      </c>
      <c r="O157" s="120"/>
      <c r="P157" s="120"/>
    </row>
    <row r="158" spans="2:16" ht="18">
      <c r="B158" s="116">
        <v>2026</v>
      </c>
      <c r="C158" s="116">
        <v>21</v>
      </c>
      <c r="D158" s="169">
        <v>43</v>
      </c>
      <c r="E158" s="116">
        <v>1</v>
      </c>
      <c r="F158" s="116">
        <v>1</v>
      </c>
      <c r="G158" s="116">
        <v>2</v>
      </c>
      <c r="H158" s="116">
        <v>5000</v>
      </c>
      <c r="I158" s="116">
        <v>5100</v>
      </c>
      <c r="J158" s="116">
        <v>511</v>
      </c>
      <c r="K158" s="117">
        <v>863</v>
      </c>
      <c r="L158" s="118" t="s">
        <v>174</v>
      </c>
      <c r="M158" s="119"/>
      <c r="N158" s="120" t="s">
        <v>56</v>
      </c>
      <c r="O158" s="120"/>
      <c r="P158" s="120"/>
    </row>
    <row r="159" spans="2:16" ht="18">
      <c r="B159" s="116">
        <v>2026</v>
      </c>
      <c r="C159" s="116">
        <v>21</v>
      </c>
      <c r="D159" s="169">
        <v>43</v>
      </c>
      <c r="E159" s="116">
        <v>1</v>
      </c>
      <c r="F159" s="116">
        <v>1</v>
      </c>
      <c r="G159" s="116">
        <v>2</v>
      </c>
      <c r="H159" s="116">
        <v>5000</v>
      </c>
      <c r="I159" s="116">
        <v>5100</v>
      </c>
      <c r="J159" s="116">
        <v>511</v>
      </c>
      <c r="K159" s="117">
        <v>929</v>
      </c>
      <c r="L159" s="118" t="s">
        <v>175</v>
      </c>
      <c r="M159" s="119"/>
      <c r="N159" s="120" t="s">
        <v>56</v>
      </c>
      <c r="O159" s="120"/>
      <c r="P159" s="120"/>
    </row>
    <row r="160" spans="2:16" ht="18">
      <c r="B160" s="116">
        <v>2026</v>
      </c>
      <c r="C160" s="116">
        <v>21</v>
      </c>
      <c r="D160" s="169">
        <v>43</v>
      </c>
      <c r="E160" s="116">
        <v>1</v>
      </c>
      <c r="F160" s="116">
        <v>1</v>
      </c>
      <c r="G160" s="116">
        <v>2</v>
      </c>
      <c r="H160" s="116">
        <v>5000</v>
      </c>
      <c r="I160" s="116">
        <v>5100</v>
      </c>
      <c r="J160" s="116">
        <v>511</v>
      </c>
      <c r="K160" s="117">
        <v>975</v>
      </c>
      <c r="L160" s="118" t="s">
        <v>176</v>
      </c>
      <c r="M160" s="119"/>
      <c r="N160" s="120" t="s">
        <v>56</v>
      </c>
      <c r="O160" s="120"/>
      <c r="P160" s="120"/>
    </row>
    <row r="161" spans="1:16" ht="18">
      <c r="B161" s="116">
        <v>2026</v>
      </c>
      <c r="C161" s="116">
        <v>21</v>
      </c>
      <c r="D161" s="169">
        <v>43</v>
      </c>
      <c r="E161" s="116">
        <v>1</v>
      </c>
      <c r="F161" s="116">
        <v>1</v>
      </c>
      <c r="G161" s="116">
        <v>2</v>
      </c>
      <c r="H161" s="116">
        <v>5000</v>
      </c>
      <c r="I161" s="116">
        <v>5100</v>
      </c>
      <c r="J161" s="116">
        <v>511</v>
      </c>
      <c r="K161" s="117">
        <v>992</v>
      </c>
      <c r="L161" s="118" t="s">
        <v>177</v>
      </c>
      <c r="M161" s="119"/>
      <c r="N161" s="120" t="s">
        <v>56</v>
      </c>
      <c r="O161" s="120"/>
      <c r="P161" s="120"/>
    </row>
    <row r="162" spans="1:16" ht="18">
      <c r="B162" s="116">
        <v>2026</v>
      </c>
      <c r="C162" s="116">
        <v>21</v>
      </c>
      <c r="D162" s="169">
        <v>43</v>
      </c>
      <c r="E162" s="116">
        <v>1</v>
      </c>
      <c r="F162" s="116">
        <v>1</v>
      </c>
      <c r="G162" s="116">
        <v>2</v>
      </c>
      <c r="H162" s="116">
        <v>5000</v>
      </c>
      <c r="I162" s="116">
        <v>5100</v>
      </c>
      <c r="J162" s="116">
        <v>511</v>
      </c>
      <c r="K162" s="117">
        <v>1002</v>
      </c>
      <c r="L162" s="118" t="s">
        <v>178</v>
      </c>
      <c r="M162" s="119"/>
      <c r="N162" s="120" t="s">
        <v>56</v>
      </c>
      <c r="O162" s="120"/>
      <c r="P162" s="120"/>
    </row>
    <row r="163" spans="1:16" ht="18">
      <c r="B163" s="116">
        <v>2026</v>
      </c>
      <c r="C163" s="116">
        <v>21</v>
      </c>
      <c r="D163" s="169">
        <v>43</v>
      </c>
      <c r="E163" s="116">
        <v>1</v>
      </c>
      <c r="F163" s="116">
        <v>1</v>
      </c>
      <c r="G163" s="116">
        <v>2</v>
      </c>
      <c r="H163" s="116">
        <v>5000</v>
      </c>
      <c r="I163" s="116">
        <v>5100</v>
      </c>
      <c r="J163" s="116">
        <v>511</v>
      </c>
      <c r="K163" s="117">
        <v>1247</v>
      </c>
      <c r="L163" s="118" t="s">
        <v>179</v>
      </c>
      <c r="M163" s="119"/>
      <c r="N163" s="120" t="s">
        <v>56</v>
      </c>
      <c r="O163" s="120"/>
      <c r="P163" s="120"/>
    </row>
    <row r="164" spans="1:16" ht="18">
      <c r="B164" s="116">
        <v>2026</v>
      </c>
      <c r="C164" s="116">
        <v>21</v>
      </c>
      <c r="D164" s="169">
        <v>43</v>
      </c>
      <c r="E164" s="116">
        <v>1</v>
      </c>
      <c r="F164" s="116">
        <v>1</v>
      </c>
      <c r="G164" s="116">
        <v>2</v>
      </c>
      <c r="H164" s="116">
        <v>5000</v>
      </c>
      <c r="I164" s="116">
        <v>5100</v>
      </c>
      <c r="J164" s="116">
        <v>511</v>
      </c>
      <c r="K164" s="117">
        <v>1248</v>
      </c>
      <c r="L164" s="118" t="s">
        <v>180</v>
      </c>
      <c r="M164" s="119"/>
      <c r="N164" s="120" t="s">
        <v>56</v>
      </c>
      <c r="O164" s="120"/>
      <c r="P164" s="120"/>
    </row>
    <row r="165" spans="1:16" ht="18">
      <c r="B165" s="116">
        <v>2026</v>
      </c>
      <c r="C165" s="116">
        <v>21</v>
      </c>
      <c r="D165" s="169">
        <v>43</v>
      </c>
      <c r="E165" s="116">
        <v>1</v>
      </c>
      <c r="F165" s="116">
        <v>1</v>
      </c>
      <c r="G165" s="116">
        <v>2</v>
      </c>
      <c r="H165" s="116">
        <v>5000</v>
      </c>
      <c r="I165" s="116">
        <v>5100</v>
      </c>
      <c r="J165" s="116">
        <v>511</v>
      </c>
      <c r="K165" s="117">
        <v>1301</v>
      </c>
      <c r="L165" s="118" t="s">
        <v>181</v>
      </c>
      <c r="M165" s="119"/>
      <c r="N165" s="120" t="s">
        <v>56</v>
      </c>
      <c r="O165" s="120"/>
      <c r="P165" s="120"/>
    </row>
    <row r="166" spans="1:16" ht="18">
      <c r="B166" s="116">
        <v>2026</v>
      </c>
      <c r="C166" s="116">
        <v>21</v>
      </c>
      <c r="D166" s="169">
        <v>43</v>
      </c>
      <c r="E166" s="116">
        <v>1</v>
      </c>
      <c r="F166" s="116">
        <v>1</v>
      </c>
      <c r="G166" s="116">
        <v>2</v>
      </c>
      <c r="H166" s="116">
        <v>5000</v>
      </c>
      <c r="I166" s="116">
        <v>5100</v>
      </c>
      <c r="J166" s="116">
        <v>511</v>
      </c>
      <c r="K166" s="117">
        <v>1316</v>
      </c>
      <c r="L166" s="118" t="s">
        <v>182</v>
      </c>
      <c r="M166" s="119"/>
      <c r="N166" s="120" t="s">
        <v>56</v>
      </c>
      <c r="O166" s="120"/>
      <c r="P166" s="120"/>
    </row>
    <row r="167" spans="1:16" s="58" customFormat="1" ht="18">
      <c r="A167"/>
      <c r="B167" s="116">
        <v>2026</v>
      </c>
      <c r="C167" s="116">
        <v>21</v>
      </c>
      <c r="D167" s="169">
        <v>43</v>
      </c>
      <c r="E167" s="116">
        <v>1</v>
      </c>
      <c r="F167" s="116">
        <v>1</v>
      </c>
      <c r="G167" s="116">
        <v>2</v>
      </c>
      <c r="H167" s="116">
        <v>5000</v>
      </c>
      <c r="I167" s="116">
        <v>5100</v>
      </c>
      <c r="J167" s="116">
        <v>511</v>
      </c>
      <c r="K167" s="117">
        <v>934</v>
      </c>
      <c r="L167" s="118" t="s">
        <v>183</v>
      </c>
      <c r="M167" s="119"/>
      <c r="N167" s="120" t="s">
        <v>56</v>
      </c>
      <c r="O167" s="120"/>
      <c r="P167" s="120"/>
    </row>
    <row r="168" spans="1:16" s="58" customFormat="1" ht="18">
      <c r="A168"/>
      <c r="B168" s="116">
        <v>2026</v>
      </c>
      <c r="C168" s="116">
        <v>21</v>
      </c>
      <c r="D168" s="169">
        <v>43</v>
      </c>
      <c r="E168" s="116">
        <v>1</v>
      </c>
      <c r="F168" s="116">
        <v>1</v>
      </c>
      <c r="G168" s="116">
        <v>2</v>
      </c>
      <c r="H168" s="116">
        <v>5000</v>
      </c>
      <c r="I168" s="116">
        <v>5100</v>
      </c>
      <c r="J168" s="116">
        <v>511</v>
      </c>
      <c r="K168" s="117">
        <v>92</v>
      </c>
      <c r="L168" s="118" t="s">
        <v>184</v>
      </c>
      <c r="M168" s="119"/>
      <c r="N168" s="120" t="s">
        <v>56</v>
      </c>
      <c r="O168" s="120"/>
      <c r="P168" s="120"/>
    </row>
    <row r="169" spans="1:16" s="58" customFormat="1" ht="18">
      <c r="A169"/>
      <c r="B169" s="116">
        <v>2026</v>
      </c>
      <c r="C169" s="116">
        <v>21</v>
      </c>
      <c r="D169" s="169">
        <v>43</v>
      </c>
      <c r="E169" s="116">
        <v>1</v>
      </c>
      <c r="F169" s="116">
        <v>1</v>
      </c>
      <c r="G169" s="116">
        <v>2</v>
      </c>
      <c r="H169" s="116">
        <v>5000</v>
      </c>
      <c r="I169" s="116">
        <v>5100</v>
      </c>
      <c r="J169" s="116">
        <v>511</v>
      </c>
      <c r="K169" s="117">
        <v>646</v>
      </c>
      <c r="L169" s="118" t="s">
        <v>185</v>
      </c>
      <c r="M169" s="119"/>
      <c r="N169" s="120" t="s">
        <v>56</v>
      </c>
      <c r="O169" s="120"/>
      <c r="P169" s="120"/>
    </row>
    <row r="170" spans="1:16" s="58" customFormat="1" ht="18">
      <c r="A170"/>
      <c r="B170" s="110">
        <v>2026</v>
      </c>
      <c r="C170" s="110">
        <v>21</v>
      </c>
      <c r="D170" s="168">
        <v>43</v>
      </c>
      <c r="E170" s="110">
        <v>1</v>
      </c>
      <c r="F170" s="110">
        <v>1</v>
      </c>
      <c r="G170" s="110">
        <v>2</v>
      </c>
      <c r="H170" s="110">
        <v>5000</v>
      </c>
      <c r="I170" s="110">
        <v>5100</v>
      </c>
      <c r="J170" s="110">
        <v>515</v>
      </c>
      <c r="K170" s="110"/>
      <c r="L170" s="123" t="s">
        <v>186</v>
      </c>
      <c r="M170" s="112">
        <f>SUBTOTAL(9,M171:M185)</f>
        <v>0</v>
      </c>
      <c r="N170" s="110"/>
      <c r="O170" s="110"/>
      <c r="P170" s="110"/>
    </row>
    <row r="171" spans="1:16" s="58" customFormat="1" ht="18">
      <c r="A171"/>
      <c r="B171" s="116">
        <v>2026</v>
      </c>
      <c r="C171" s="116">
        <v>21</v>
      </c>
      <c r="D171" s="169">
        <v>43</v>
      </c>
      <c r="E171" s="116">
        <v>1</v>
      </c>
      <c r="F171" s="116">
        <v>1</v>
      </c>
      <c r="G171" s="116">
        <v>2</v>
      </c>
      <c r="H171" s="116">
        <v>5000</v>
      </c>
      <c r="I171" s="116">
        <v>5100</v>
      </c>
      <c r="J171" s="116">
        <v>515</v>
      </c>
      <c r="K171" s="117">
        <v>6</v>
      </c>
      <c r="L171" s="118" t="s">
        <v>187</v>
      </c>
      <c r="M171" s="119"/>
      <c r="N171" s="120" t="s">
        <v>56</v>
      </c>
      <c r="O171" s="120"/>
      <c r="P171" s="120"/>
    </row>
    <row r="172" spans="1:16" s="58" customFormat="1" ht="36">
      <c r="A172"/>
      <c r="B172" s="116">
        <v>2026</v>
      </c>
      <c r="C172" s="116">
        <v>21</v>
      </c>
      <c r="D172" s="169">
        <v>43</v>
      </c>
      <c r="E172" s="116">
        <v>1</v>
      </c>
      <c r="F172" s="116">
        <v>1</v>
      </c>
      <c r="G172" s="116">
        <v>2</v>
      </c>
      <c r="H172" s="116">
        <v>5000</v>
      </c>
      <c r="I172" s="116">
        <v>5100</v>
      </c>
      <c r="J172" s="116">
        <v>515</v>
      </c>
      <c r="K172" s="117">
        <v>362</v>
      </c>
      <c r="L172" s="118" t="s">
        <v>188</v>
      </c>
      <c r="M172" s="119"/>
      <c r="N172" s="120" t="s">
        <v>56</v>
      </c>
      <c r="O172" s="120"/>
      <c r="P172" s="120"/>
    </row>
    <row r="173" spans="1:16" ht="18">
      <c r="B173" s="116">
        <v>2026</v>
      </c>
      <c r="C173" s="116">
        <v>21</v>
      </c>
      <c r="D173" s="169">
        <v>43</v>
      </c>
      <c r="E173" s="116">
        <v>1</v>
      </c>
      <c r="F173" s="116">
        <v>1</v>
      </c>
      <c r="G173" s="116">
        <v>2</v>
      </c>
      <c r="H173" s="116">
        <v>5000</v>
      </c>
      <c r="I173" s="116">
        <v>5100</v>
      </c>
      <c r="J173" s="116">
        <v>515</v>
      </c>
      <c r="K173" s="117">
        <v>365</v>
      </c>
      <c r="L173" s="118" t="s">
        <v>189</v>
      </c>
      <c r="M173" s="119"/>
      <c r="N173" s="120" t="s">
        <v>56</v>
      </c>
      <c r="O173" s="120"/>
      <c r="P173" s="120"/>
    </row>
    <row r="174" spans="1:16" ht="18">
      <c r="B174" s="116">
        <v>2026</v>
      </c>
      <c r="C174" s="116">
        <v>21</v>
      </c>
      <c r="D174" s="169">
        <v>43</v>
      </c>
      <c r="E174" s="116">
        <v>1</v>
      </c>
      <c r="F174" s="116">
        <v>1</v>
      </c>
      <c r="G174" s="116">
        <v>2</v>
      </c>
      <c r="H174" s="116">
        <v>5000</v>
      </c>
      <c r="I174" s="116">
        <v>5100</v>
      </c>
      <c r="J174" s="116">
        <v>515</v>
      </c>
      <c r="K174" s="117">
        <v>374</v>
      </c>
      <c r="L174" s="118" t="s">
        <v>190</v>
      </c>
      <c r="M174" s="119"/>
      <c r="N174" s="120" t="s">
        <v>56</v>
      </c>
      <c r="O174" s="120"/>
      <c r="P174" s="120"/>
    </row>
    <row r="175" spans="1:16" ht="18">
      <c r="B175" s="116">
        <v>2026</v>
      </c>
      <c r="C175" s="116">
        <v>21</v>
      </c>
      <c r="D175" s="169">
        <v>43</v>
      </c>
      <c r="E175" s="116">
        <v>1</v>
      </c>
      <c r="F175" s="116">
        <v>1</v>
      </c>
      <c r="G175" s="116">
        <v>2</v>
      </c>
      <c r="H175" s="116">
        <v>5000</v>
      </c>
      <c r="I175" s="116">
        <v>5100</v>
      </c>
      <c r="J175" s="116">
        <v>515</v>
      </c>
      <c r="K175" s="117">
        <v>377</v>
      </c>
      <c r="L175" s="118" t="s">
        <v>191</v>
      </c>
      <c r="M175" s="119"/>
      <c r="N175" s="120" t="s">
        <v>56</v>
      </c>
      <c r="O175" s="120"/>
      <c r="P175" s="120"/>
    </row>
    <row r="176" spans="1:16" ht="18">
      <c r="B176" s="116">
        <v>2026</v>
      </c>
      <c r="C176" s="116">
        <v>21</v>
      </c>
      <c r="D176" s="169">
        <v>43</v>
      </c>
      <c r="E176" s="116">
        <v>1</v>
      </c>
      <c r="F176" s="116">
        <v>1</v>
      </c>
      <c r="G176" s="116">
        <v>2</v>
      </c>
      <c r="H176" s="116">
        <v>5000</v>
      </c>
      <c r="I176" s="116">
        <v>5100</v>
      </c>
      <c r="J176" s="116">
        <v>515</v>
      </c>
      <c r="K176" s="117">
        <v>594</v>
      </c>
      <c r="L176" s="118" t="s">
        <v>192</v>
      </c>
      <c r="M176" s="119"/>
      <c r="N176" s="120" t="s">
        <v>56</v>
      </c>
      <c r="O176" s="120"/>
      <c r="P176" s="120"/>
    </row>
    <row r="177" spans="2:16" ht="18">
      <c r="B177" s="116">
        <v>2026</v>
      </c>
      <c r="C177" s="116">
        <v>21</v>
      </c>
      <c r="D177" s="169">
        <v>43</v>
      </c>
      <c r="E177" s="116">
        <v>1</v>
      </c>
      <c r="F177" s="116">
        <v>1</v>
      </c>
      <c r="G177" s="116">
        <v>2</v>
      </c>
      <c r="H177" s="116">
        <v>5000</v>
      </c>
      <c r="I177" s="116">
        <v>5100</v>
      </c>
      <c r="J177" s="116">
        <v>515</v>
      </c>
      <c r="K177" s="117">
        <v>631</v>
      </c>
      <c r="L177" s="118" t="s">
        <v>193</v>
      </c>
      <c r="M177" s="119"/>
      <c r="N177" s="120" t="s">
        <v>56</v>
      </c>
      <c r="O177" s="120"/>
      <c r="P177" s="120"/>
    </row>
    <row r="178" spans="2:16" ht="18">
      <c r="B178" s="116">
        <v>2026</v>
      </c>
      <c r="C178" s="116">
        <v>21</v>
      </c>
      <c r="D178" s="169">
        <v>43</v>
      </c>
      <c r="E178" s="116">
        <v>1</v>
      </c>
      <c r="F178" s="116">
        <v>1</v>
      </c>
      <c r="G178" s="116">
        <v>2</v>
      </c>
      <c r="H178" s="116">
        <v>5000</v>
      </c>
      <c r="I178" s="116">
        <v>5100</v>
      </c>
      <c r="J178" s="116">
        <v>515</v>
      </c>
      <c r="K178" s="117">
        <v>1005</v>
      </c>
      <c r="L178" s="118" t="s">
        <v>194</v>
      </c>
      <c r="M178" s="119"/>
      <c r="N178" s="120" t="s">
        <v>56</v>
      </c>
      <c r="O178" s="120"/>
      <c r="P178" s="120"/>
    </row>
    <row r="179" spans="2:16" ht="18">
      <c r="B179" s="116">
        <v>2026</v>
      </c>
      <c r="C179" s="116">
        <v>21</v>
      </c>
      <c r="D179" s="169">
        <v>43</v>
      </c>
      <c r="E179" s="116">
        <v>1</v>
      </c>
      <c r="F179" s="116">
        <v>1</v>
      </c>
      <c r="G179" s="116">
        <v>2</v>
      </c>
      <c r="H179" s="116">
        <v>5000</v>
      </c>
      <c r="I179" s="116">
        <v>5100</v>
      </c>
      <c r="J179" s="116">
        <v>515</v>
      </c>
      <c r="K179" s="117">
        <v>1241</v>
      </c>
      <c r="L179" s="118" t="s">
        <v>195</v>
      </c>
      <c r="M179" s="119"/>
      <c r="N179" s="120" t="s">
        <v>56</v>
      </c>
      <c r="O179" s="120"/>
      <c r="P179" s="120"/>
    </row>
    <row r="180" spans="2:16" ht="18">
      <c r="B180" s="116">
        <v>2026</v>
      </c>
      <c r="C180" s="116">
        <v>21</v>
      </c>
      <c r="D180" s="169">
        <v>43</v>
      </c>
      <c r="E180" s="116">
        <v>1</v>
      </c>
      <c r="F180" s="116">
        <v>1</v>
      </c>
      <c r="G180" s="116">
        <v>2</v>
      </c>
      <c r="H180" s="116">
        <v>5000</v>
      </c>
      <c r="I180" s="116">
        <v>5100</v>
      </c>
      <c r="J180" s="116">
        <v>515</v>
      </c>
      <c r="K180" s="117">
        <v>1288</v>
      </c>
      <c r="L180" s="118" t="s">
        <v>196</v>
      </c>
      <c r="M180" s="119"/>
      <c r="N180" s="120" t="s">
        <v>56</v>
      </c>
      <c r="O180" s="120"/>
      <c r="P180" s="120"/>
    </row>
    <row r="181" spans="2:16" ht="18">
      <c r="B181" s="116">
        <v>2026</v>
      </c>
      <c r="C181" s="116">
        <v>21</v>
      </c>
      <c r="D181" s="169">
        <v>43</v>
      </c>
      <c r="E181" s="116">
        <v>1</v>
      </c>
      <c r="F181" s="116">
        <v>1</v>
      </c>
      <c r="G181" s="116">
        <v>2</v>
      </c>
      <c r="H181" s="116">
        <v>5000</v>
      </c>
      <c r="I181" s="116">
        <v>5100</v>
      </c>
      <c r="J181" s="116">
        <v>515</v>
      </c>
      <c r="K181" s="117">
        <v>1330</v>
      </c>
      <c r="L181" s="118" t="s">
        <v>197</v>
      </c>
      <c r="M181" s="119"/>
      <c r="N181" s="120" t="s">
        <v>56</v>
      </c>
      <c r="O181" s="120"/>
      <c r="P181" s="120"/>
    </row>
    <row r="182" spans="2:16" ht="18">
      <c r="B182" s="116">
        <v>2026</v>
      </c>
      <c r="C182" s="116">
        <v>21</v>
      </c>
      <c r="D182" s="169">
        <v>43</v>
      </c>
      <c r="E182" s="116">
        <v>1</v>
      </c>
      <c r="F182" s="116">
        <v>1</v>
      </c>
      <c r="G182" s="116">
        <v>2</v>
      </c>
      <c r="H182" s="116">
        <v>5000</v>
      </c>
      <c r="I182" s="116">
        <v>5100</v>
      </c>
      <c r="J182" s="116">
        <v>515</v>
      </c>
      <c r="K182" s="117">
        <v>1421</v>
      </c>
      <c r="L182" s="118" t="s">
        <v>198</v>
      </c>
      <c r="M182" s="119"/>
      <c r="N182" s="120" t="s">
        <v>56</v>
      </c>
      <c r="O182" s="120"/>
      <c r="P182" s="120"/>
    </row>
    <row r="183" spans="2:16" ht="18">
      <c r="B183" s="116">
        <v>2026</v>
      </c>
      <c r="C183" s="116">
        <v>21</v>
      </c>
      <c r="D183" s="169">
        <v>43</v>
      </c>
      <c r="E183" s="116">
        <v>1</v>
      </c>
      <c r="F183" s="116">
        <v>1</v>
      </c>
      <c r="G183" s="116">
        <v>2</v>
      </c>
      <c r="H183" s="116">
        <v>5000</v>
      </c>
      <c r="I183" s="116">
        <v>5100</v>
      </c>
      <c r="J183" s="116">
        <v>515</v>
      </c>
      <c r="K183" s="117">
        <v>1426</v>
      </c>
      <c r="L183" s="118" t="s">
        <v>199</v>
      </c>
      <c r="M183" s="119"/>
      <c r="N183" s="120" t="s">
        <v>56</v>
      </c>
      <c r="O183" s="120"/>
      <c r="P183" s="120"/>
    </row>
    <row r="184" spans="2:16" ht="36">
      <c r="B184" s="116">
        <v>2026</v>
      </c>
      <c r="C184" s="116">
        <v>21</v>
      </c>
      <c r="D184" s="169">
        <v>43</v>
      </c>
      <c r="E184" s="116">
        <v>1</v>
      </c>
      <c r="F184" s="116">
        <v>1</v>
      </c>
      <c r="G184" s="116">
        <v>2</v>
      </c>
      <c r="H184" s="116">
        <v>5000</v>
      </c>
      <c r="I184" s="116">
        <v>5100</v>
      </c>
      <c r="J184" s="116">
        <v>515</v>
      </c>
      <c r="K184" s="117">
        <v>1477</v>
      </c>
      <c r="L184" s="118" t="s">
        <v>200</v>
      </c>
      <c r="M184" s="119"/>
      <c r="N184" s="120" t="s">
        <v>56</v>
      </c>
      <c r="O184" s="120"/>
      <c r="P184" s="120"/>
    </row>
    <row r="185" spans="2:16" ht="18">
      <c r="B185" s="116">
        <v>2026</v>
      </c>
      <c r="C185" s="116">
        <v>21</v>
      </c>
      <c r="D185" s="169">
        <v>43</v>
      </c>
      <c r="E185" s="116">
        <v>1</v>
      </c>
      <c r="F185" s="116">
        <v>1</v>
      </c>
      <c r="G185" s="116">
        <v>2</v>
      </c>
      <c r="H185" s="116">
        <v>5000</v>
      </c>
      <c r="I185" s="116">
        <v>5100</v>
      </c>
      <c r="J185" s="116">
        <v>515</v>
      </c>
      <c r="K185" s="117">
        <v>1080</v>
      </c>
      <c r="L185" s="118" t="s">
        <v>201</v>
      </c>
      <c r="M185" s="119"/>
      <c r="N185" s="131" t="s">
        <v>56</v>
      </c>
      <c r="O185" s="131"/>
      <c r="P185" s="131"/>
    </row>
    <row r="186" spans="2:16" ht="18">
      <c r="B186" s="110">
        <v>2026</v>
      </c>
      <c r="C186" s="110">
        <v>21</v>
      </c>
      <c r="D186" s="168">
        <v>43</v>
      </c>
      <c r="E186" s="110">
        <v>1</v>
      </c>
      <c r="F186" s="110">
        <v>1</v>
      </c>
      <c r="G186" s="110">
        <v>2</v>
      </c>
      <c r="H186" s="110">
        <v>5000</v>
      </c>
      <c r="I186" s="110">
        <v>5100</v>
      </c>
      <c r="J186" s="110">
        <v>519</v>
      </c>
      <c r="K186" s="110"/>
      <c r="L186" s="123" t="s">
        <v>202</v>
      </c>
      <c r="M186" s="112">
        <f>SUBTOTAL(9,M187:M197)</f>
        <v>0</v>
      </c>
      <c r="N186" s="110"/>
      <c r="O186" s="110"/>
      <c r="P186" s="110"/>
    </row>
    <row r="187" spans="2:16" ht="18">
      <c r="B187" s="116">
        <v>2026</v>
      </c>
      <c r="C187" s="116">
        <v>21</v>
      </c>
      <c r="D187" s="169">
        <v>43</v>
      </c>
      <c r="E187" s="116">
        <v>1</v>
      </c>
      <c r="F187" s="116">
        <v>1</v>
      </c>
      <c r="G187" s="116">
        <v>2</v>
      </c>
      <c r="H187" s="116">
        <v>5000</v>
      </c>
      <c r="I187" s="116">
        <v>5100</v>
      </c>
      <c r="J187" s="116">
        <v>519</v>
      </c>
      <c r="K187" s="117">
        <v>17</v>
      </c>
      <c r="L187" s="118" t="s">
        <v>203</v>
      </c>
      <c r="M187" s="119"/>
      <c r="N187" s="120" t="s">
        <v>56</v>
      </c>
      <c r="O187" s="120"/>
      <c r="P187" s="120"/>
    </row>
    <row r="188" spans="2:16" ht="18">
      <c r="B188" s="116">
        <v>2026</v>
      </c>
      <c r="C188" s="116">
        <v>21</v>
      </c>
      <c r="D188" s="169">
        <v>43</v>
      </c>
      <c r="E188" s="116">
        <v>1</v>
      </c>
      <c r="F188" s="116">
        <v>1</v>
      </c>
      <c r="G188" s="116">
        <v>2</v>
      </c>
      <c r="H188" s="116">
        <v>5000</v>
      </c>
      <c r="I188" s="116">
        <v>5100</v>
      </c>
      <c r="J188" s="116">
        <v>519</v>
      </c>
      <c r="K188" s="117">
        <v>337</v>
      </c>
      <c r="L188" s="118" t="s">
        <v>204</v>
      </c>
      <c r="M188" s="119"/>
      <c r="N188" s="120" t="s">
        <v>56</v>
      </c>
      <c r="O188" s="120"/>
      <c r="P188" s="120"/>
    </row>
    <row r="189" spans="2:16" ht="18">
      <c r="B189" s="116">
        <v>2026</v>
      </c>
      <c r="C189" s="116">
        <v>21</v>
      </c>
      <c r="D189" s="169">
        <v>43</v>
      </c>
      <c r="E189" s="116">
        <v>1</v>
      </c>
      <c r="F189" s="116">
        <v>1</v>
      </c>
      <c r="G189" s="116">
        <v>2</v>
      </c>
      <c r="H189" s="116">
        <v>5000</v>
      </c>
      <c r="I189" s="116">
        <v>5100</v>
      </c>
      <c r="J189" s="116">
        <v>519</v>
      </c>
      <c r="K189" s="117">
        <v>510</v>
      </c>
      <c r="L189" s="118" t="s">
        <v>205</v>
      </c>
      <c r="M189" s="119"/>
      <c r="N189" s="120" t="s">
        <v>56</v>
      </c>
      <c r="O189" s="120"/>
      <c r="P189" s="120"/>
    </row>
    <row r="190" spans="2:16" ht="36">
      <c r="B190" s="116">
        <v>2026</v>
      </c>
      <c r="C190" s="116">
        <v>21</v>
      </c>
      <c r="D190" s="169">
        <v>43</v>
      </c>
      <c r="E190" s="116">
        <v>1</v>
      </c>
      <c r="F190" s="116">
        <v>1</v>
      </c>
      <c r="G190" s="116">
        <v>2</v>
      </c>
      <c r="H190" s="116">
        <v>5000</v>
      </c>
      <c r="I190" s="116">
        <v>5100</v>
      </c>
      <c r="J190" s="116">
        <v>519</v>
      </c>
      <c r="K190" s="117">
        <v>1042</v>
      </c>
      <c r="L190" s="118" t="s">
        <v>206</v>
      </c>
      <c r="M190" s="119"/>
      <c r="N190" s="120" t="s">
        <v>56</v>
      </c>
      <c r="O190" s="120"/>
      <c r="P190" s="120"/>
    </row>
    <row r="191" spans="2:16" ht="18">
      <c r="B191" s="116">
        <v>2026</v>
      </c>
      <c r="C191" s="116">
        <v>21</v>
      </c>
      <c r="D191" s="169">
        <v>43</v>
      </c>
      <c r="E191" s="116">
        <v>1</v>
      </c>
      <c r="F191" s="116">
        <v>1</v>
      </c>
      <c r="G191" s="116">
        <v>2</v>
      </c>
      <c r="H191" s="116">
        <v>5000</v>
      </c>
      <c r="I191" s="116">
        <v>5100</v>
      </c>
      <c r="J191" s="116">
        <v>519</v>
      </c>
      <c r="K191" s="117">
        <v>1425</v>
      </c>
      <c r="L191" s="118" t="s">
        <v>207</v>
      </c>
      <c r="M191" s="119"/>
      <c r="N191" s="120" t="s">
        <v>56</v>
      </c>
      <c r="O191" s="120"/>
      <c r="P191" s="120"/>
    </row>
    <row r="192" spans="2:16" ht="18">
      <c r="B192" s="116">
        <v>2026</v>
      </c>
      <c r="C192" s="116">
        <v>21</v>
      </c>
      <c r="D192" s="169">
        <v>43</v>
      </c>
      <c r="E192" s="116">
        <v>1</v>
      </c>
      <c r="F192" s="116">
        <v>1</v>
      </c>
      <c r="G192" s="116">
        <v>2</v>
      </c>
      <c r="H192" s="116">
        <v>5000</v>
      </c>
      <c r="I192" s="116">
        <v>5100</v>
      </c>
      <c r="J192" s="116">
        <v>519</v>
      </c>
      <c r="K192" s="117">
        <v>1469</v>
      </c>
      <c r="L192" s="118" t="s">
        <v>208</v>
      </c>
      <c r="M192" s="119"/>
      <c r="N192" s="120" t="s">
        <v>56</v>
      </c>
      <c r="O192" s="120"/>
      <c r="P192" s="120"/>
    </row>
    <row r="193" spans="2:16" ht="18">
      <c r="B193" s="116">
        <v>2026</v>
      </c>
      <c r="C193" s="116">
        <v>21</v>
      </c>
      <c r="D193" s="169">
        <v>43</v>
      </c>
      <c r="E193" s="116">
        <v>1</v>
      </c>
      <c r="F193" s="116">
        <v>1</v>
      </c>
      <c r="G193" s="116">
        <v>2</v>
      </c>
      <c r="H193" s="116">
        <v>5000</v>
      </c>
      <c r="I193" s="116">
        <v>5100</v>
      </c>
      <c r="J193" s="116">
        <v>519</v>
      </c>
      <c r="K193" s="117">
        <v>1499</v>
      </c>
      <c r="L193" s="118" t="s">
        <v>209</v>
      </c>
      <c r="M193" s="119"/>
      <c r="N193" s="120" t="s">
        <v>56</v>
      </c>
      <c r="O193" s="120"/>
      <c r="P193" s="120"/>
    </row>
    <row r="194" spans="2:16" ht="18">
      <c r="B194" s="116">
        <v>2026</v>
      </c>
      <c r="C194" s="116">
        <v>21</v>
      </c>
      <c r="D194" s="169">
        <v>43</v>
      </c>
      <c r="E194" s="116">
        <v>1</v>
      </c>
      <c r="F194" s="116">
        <v>1</v>
      </c>
      <c r="G194" s="116">
        <v>2</v>
      </c>
      <c r="H194" s="116">
        <v>5000</v>
      </c>
      <c r="I194" s="116">
        <v>5100</v>
      </c>
      <c r="J194" s="116">
        <v>519</v>
      </c>
      <c r="K194" s="117">
        <v>85</v>
      </c>
      <c r="L194" s="118" t="s">
        <v>210</v>
      </c>
      <c r="M194" s="119"/>
      <c r="N194" s="120" t="s">
        <v>56</v>
      </c>
      <c r="O194" s="120"/>
      <c r="P194" s="120"/>
    </row>
    <row r="195" spans="2:16" ht="18">
      <c r="B195" s="116">
        <v>2026</v>
      </c>
      <c r="C195" s="116">
        <v>21</v>
      </c>
      <c r="D195" s="169">
        <v>43</v>
      </c>
      <c r="E195" s="116">
        <v>1</v>
      </c>
      <c r="F195" s="116">
        <v>1</v>
      </c>
      <c r="G195" s="116">
        <v>2</v>
      </c>
      <c r="H195" s="116">
        <v>5000</v>
      </c>
      <c r="I195" s="116">
        <v>5100</v>
      </c>
      <c r="J195" s="116">
        <v>519</v>
      </c>
      <c r="K195" s="117">
        <v>1391</v>
      </c>
      <c r="L195" s="118" t="s">
        <v>211</v>
      </c>
      <c r="M195" s="119"/>
      <c r="N195" s="120" t="s">
        <v>56</v>
      </c>
      <c r="O195" s="120"/>
      <c r="P195" s="120"/>
    </row>
    <row r="196" spans="2:16" ht="18">
      <c r="B196" s="116">
        <v>2026</v>
      </c>
      <c r="C196" s="116">
        <v>21</v>
      </c>
      <c r="D196" s="169">
        <v>43</v>
      </c>
      <c r="E196" s="116">
        <v>1</v>
      </c>
      <c r="F196" s="116">
        <v>1</v>
      </c>
      <c r="G196" s="116">
        <v>2</v>
      </c>
      <c r="H196" s="116">
        <v>5000</v>
      </c>
      <c r="I196" s="116">
        <v>5100</v>
      </c>
      <c r="J196" s="116">
        <v>519</v>
      </c>
      <c r="K196" s="117">
        <v>174</v>
      </c>
      <c r="L196" s="118" t="s">
        <v>212</v>
      </c>
      <c r="M196" s="119"/>
      <c r="N196" s="120" t="s">
        <v>56</v>
      </c>
      <c r="O196" s="120"/>
      <c r="P196" s="120"/>
    </row>
    <row r="197" spans="2:16" ht="18">
      <c r="B197" s="116">
        <v>2026</v>
      </c>
      <c r="C197" s="116">
        <v>21</v>
      </c>
      <c r="D197" s="169">
        <v>43</v>
      </c>
      <c r="E197" s="116">
        <v>1</v>
      </c>
      <c r="F197" s="116">
        <v>1</v>
      </c>
      <c r="G197" s="116">
        <v>2</v>
      </c>
      <c r="H197" s="116">
        <v>5000</v>
      </c>
      <c r="I197" s="116">
        <v>5100</v>
      </c>
      <c r="J197" s="116">
        <v>519</v>
      </c>
      <c r="K197" s="117">
        <v>756</v>
      </c>
      <c r="L197" s="118" t="s">
        <v>213</v>
      </c>
      <c r="M197" s="119"/>
      <c r="N197" s="120" t="s">
        <v>56</v>
      </c>
      <c r="O197" s="120"/>
      <c r="P197" s="120"/>
    </row>
    <row r="198" spans="2:16" ht="18">
      <c r="B198" s="103">
        <v>2026</v>
      </c>
      <c r="C198" s="103">
        <v>21</v>
      </c>
      <c r="D198" s="167">
        <v>43</v>
      </c>
      <c r="E198" s="103">
        <v>1</v>
      </c>
      <c r="F198" s="103">
        <v>1</v>
      </c>
      <c r="G198" s="103">
        <v>2</v>
      </c>
      <c r="H198" s="103">
        <v>5000</v>
      </c>
      <c r="I198" s="103">
        <v>5200</v>
      </c>
      <c r="J198" s="103"/>
      <c r="K198" s="104"/>
      <c r="L198" s="105" t="s">
        <v>214</v>
      </c>
      <c r="M198" s="106">
        <f>+M199+M208+M247</f>
        <v>0</v>
      </c>
      <c r="N198" s="107"/>
      <c r="O198" s="108"/>
      <c r="P198" s="109"/>
    </row>
    <row r="199" spans="2:16" ht="18">
      <c r="B199" s="110">
        <v>2026</v>
      </c>
      <c r="C199" s="110">
        <v>21</v>
      </c>
      <c r="D199" s="168">
        <v>43</v>
      </c>
      <c r="E199" s="110">
        <v>1</v>
      </c>
      <c r="F199" s="110">
        <v>1</v>
      </c>
      <c r="G199" s="110">
        <v>2</v>
      </c>
      <c r="H199" s="110">
        <v>5000</v>
      </c>
      <c r="I199" s="110">
        <v>5200</v>
      </c>
      <c r="J199" s="110">
        <v>521</v>
      </c>
      <c r="K199" s="110"/>
      <c r="L199" s="123" t="s">
        <v>215</v>
      </c>
      <c r="M199" s="112">
        <f>SUBTOTAL(9,M200:M207)</f>
        <v>0</v>
      </c>
      <c r="N199" s="113"/>
      <c r="O199" s="113"/>
      <c r="P199" s="113"/>
    </row>
    <row r="200" spans="2:16" ht="18">
      <c r="B200" s="116">
        <v>2026</v>
      </c>
      <c r="C200" s="116">
        <v>21</v>
      </c>
      <c r="D200" s="169">
        <v>43</v>
      </c>
      <c r="E200" s="116">
        <v>1</v>
      </c>
      <c r="F200" s="116">
        <v>1</v>
      </c>
      <c r="G200" s="116">
        <v>2</v>
      </c>
      <c r="H200" s="116">
        <v>5000</v>
      </c>
      <c r="I200" s="116">
        <v>5200</v>
      </c>
      <c r="J200" s="116">
        <v>521</v>
      </c>
      <c r="K200" s="117">
        <v>30</v>
      </c>
      <c r="L200" s="118" t="s">
        <v>216</v>
      </c>
      <c r="M200" s="119"/>
      <c r="N200" s="120" t="s">
        <v>56</v>
      </c>
      <c r="O200" s="120"/>
      <c r="P200" s="120"/>
    </row>
    <row r="201" spans="2:16" ht="18">
      <c r="B201" s="116">
        <v>2026</v>
      </c>
      <c r="C201" s="116">
        <v>21</v>
      </c>
      <c r="D201" s="169">
        <v>43</v>
      </c>
      <c r="E201" s="116">
        <v>1</v>
      </c>
      <c r="F201" s="116">
        <v>1</v>
      </c>
      <c r="G201" s="116">
        <v>2</v>
      </c>
      <c r="H201" s="116">
        <v>5000</v>
      </c>
      <c r="I201" s="116">
        <v>5200</v>
      </c>
      <c r="J201" s="116">
        <v>521</v>
      </c>
      <c r="K201" s="117">
        <v>553</v>
      </c>
      <c r="L201" s="118" t="s">
        <v>217</v>
      </c>
      <c r="M201" s="119"/>
      <c r="N201" s="120" t="s">
        <v>56</v>
      </c>
      <c r="O201" s="120"/>
      <c r="P201" s="120"/>
    </row>
    <row r="202" spans="2:16" ht="18">
      <c r="B202" s="116">
        <v>2026</v>
      </c>
      <c r="C202" s="116">
        <v>21</v>
      </c>
      <c r="D202" s="169">
        <v>43</v>
      </c>
      <c r="E202" s="116">
        <v>1</v>
      </c>
      <c r="F202" s="116">
        <v>1</v>
      </c>
      <c r="G202" s="116">
        <v>2</v>
      </c>
      <c r="H202" s="116">
        <v>5000</v>
      </c>
      <c r="I202" s="116">
        <v>5200</v>
      </c>
      <c r="J202" s="116">
        <v>521</v>
      </c>
      <c r="K202" s="117">
        <v>948</v>
      </c>
      <c r="L202" s="118" t="s">
        <v>218</v>
      </c>
      <c r="M202" s="119"/>
      <c r="N202" s="120" t="s">
        <v>56</v>
      </c>
      <c r="O202" s="120"/>
      <c r="P202" s="120"/>
    </row>
    <row r="203" spans="2:16" ht="18">
      <c r="B203" s="116">
        <v>2026</v>
      </c>
      <c r="C203" s="116">
        <v>21</v>
      </c>
      <c r="D203" s="169">
        <v>43</v>
      </c>
      <c r="E203" s="116">
        <v>1</v>
      </c>
      <c r="F203" s="116">
        <v>1</v>
      </c>
      <c r="G203" s="116">
        <v>2</v>
      </c>
      <c r="H203" s="116">
        <v>5000</v>
      </c>
      <c r="I203" s="116">
        <v>5200</v>
      </c>
      <c r="J203" s="116">
        <v>521</v>
      </c>
      <c r="K203" s="117">
        <v>951</v>
      </c>
      <c r="L203" s="118" t="s">
        <v>219</v>
      </c>
      <c r="M203" s="119"/>
      <c r="N203" s="120" t="s">
        <v>56</v>
      </c>
      <c r="O203" s="120"/>
      <c r="P203" s="120"/>
    </row>
    <row r="204" spans="2:16" ht="18">
      <c r="B204" s="116">
        <v>2026</v>
      </c>
      <c r="C204" s="116">
        <v>21</v>
      </c>
      <c r="D204" s="169">
        <v>43</v>
      </c>
      <c r="E204" s="116">
        <v>1</v>
      </c>
      <c r="F204" s="116">
        <v>1</v>
      </c>
      <c r="G204" s="116">
        <v>2</v>
      </c>
      <c r="H204" s="116">
        <v>5000</v>
      </c>
      <c r="I204" s="116">
        <v>5200</v>
      </c>
      <c r="J204" s="116">
        <v>521</v>
      </c>
      <c r="K204" s="117">
        <v>1035</v>
      </c>
      <c r="L204" s="118" t="s">
        <v>220</v>
      </c>
      <c r="M204" s="119"/>
      <c r="N204" s="120" t="s">
        <v>56</v>
      </c>
      <c r="O204" s="120"/>
      <c r="P204" s="120"/>
    </row>
    <row r="205" spans="2:16" ht="18">
      <c r="B205" s="116">
        <v>2026</v>
      </c>
      <c r="C205" s="116">
        <v>21</v>
      </c>
      <c r="D205" s="169">
        <v>43</v>
      </c>
      <c r="E205" s="116">
        <v>1</v>
      </c>
      <c r="F205" s="116">
        <v>1</v>
      </c>
      <c r="G205" s="116">
        <v>2</v>
      </c>
      <c r="H205" s="116">
        <v>5000</v>
      </c>
      <c r="I205" s="116">
        <v>5200</v>
      </c>
      <c r="J205" s="116">
        <v>521</v>
      </c>
      <c r="K205" s="117">
        <v>86</v>
      </c>
      <c r="L205" s="118" t="s">
        <v>221</v>
      </c>
      <c r="M205" s="119"/>
      <c r="N205" s="120" t="s">
        <v>56</v>
      </c>
      <c r="O205" s="120"/>
      <c r="P205" s="120"/>
    </row>
    <row r="206" spans="2:16" ht="18">
      <c r="B206" s="116">
        <v>2026</v>
      </c>
      <c r="C206" s="116">
        <v>21</v>
      </c>
      <c r="D206" s="169">
        <v>43</v>
      </c>
      <c r="E206" s="116">
        <v>1</v>
      </c>
      <c r="F206" s="116">
        <v>1</v>
      </c>
      <c r="G206" s="116">
        <v>2</v>
      </c>
      <c r="H206" s="116">
        <v>5000</v>
      </c>
      <c r="I206" s="116">
        <v>5200</v>
      </c>
      <c r="J206" s="116">
        <v>521</v>
      </c>
      <c r="K206" s="117">
        <v>1046</v>
      </c>
      <c r="L206" s="118" t="s">
        <v>222</v>
      </c>
      <c r="M206" s="119"/>
      <c r="N206" s="120" t="s">
        <v>56</v>
      </c>
      <c r="O206" s="120"/>
      <c r="P206" s="120"/>
    </row>
    <row r="207" spans="2:16" ht="18">
      <c r="B207" s="116">
        <v>2026</v>
      </c>
      <c r="C207" s="116">
        <v>21</v>
      </c>
      <c r="D207" s="169">
        <v>43</v>
      </c>
      <c r="E207" s="116">
        <v>1</v>
      </c>
      <c r="F207" s="116">
        <v>1</v>
      </c>
      <c r="G207" s="116">
        <v>2</v>
      </c>
      <c r="H207" s="116">
        <v>5000</v>
      </c>
      <c r="I207" s="116">
        <v>5200</v>
      </c>
      <c r="J207" s="116">
        <v>521</v>
      </c>
      <c r="K207" s="117">
        <v>524</v>
      </c>
      <c r="L207" s="118" t="s">
        <v>223</v>
      </c>
      <c r="M207" s="119"/>
      <c r="N207" s="120" t="s">
        <v>56</v>
      </c>
      <c r="O207" s="120"/>
      <c r="P207" s="120"/>
    </row>
    <row r="208" spans="2:16" ht="18">
      <c r="B208" s="110">
        <v>2026</v>
      </c>
      <c r="C208" s="110">
        <v>21</v>
      </c>
      <c r="D208" s="168">
        <v>43</v>
      </c>
      <c r="E208" s="110">
        <v>1</v>
      </c>
      <c r="F208" s="110">
        <v>1</v>
      </c>
      <c r="G208" s="110">
        <v>2</v>
      </c>
      <c r="H208" s="110">
        <v>5000</v>
      </c>
      <c r="I208" s="110">
        <v>5200</v>
      </c>
      <c r="J208" s="110">
        <v>522</v>
      </c>
      <c r="K208" s="110"/>
      <c r="L208" s="123" t="s">
        <v>224</v>
      </c>
      <c r="M208" s="112">
        <f>SUBTOTAL(9,M209:M246)</f>
        <v>0</v>
      </c>
      <c r="N208" s="113"/>
      <c r="O208" s="113"/>
      <c r="P208" s="113"/>
    </row>
    <row r="209" spans="1:16" s="58" customFormat="1" ht="18">
      <c r="A209"/>
      <c r="B209" s="116">
        <v>2026</v>
      </c>
      <c r="C209" s="116">
        <v>21</v>
      </c>
      <c r="D209" s="169">
        <v>43</v>
      </c>
      <c r="E209" s="116">
        <v>1</v>
      </c>
      <c r="F209" s="116">
        <v>1</v>
      </c>
      <c r="G209" s="116">
        <v>2</v>
      </c>
      <c r="H209" s="116">
        <v>5000</v>
      </c>
      <c r="I209" s="116">
        <v>5200</v>
      </c>
      <c r="J209" s="116">
        <v>522</v>
      </c>
      <c r="K209" s="117">
        <v>45</v>
      </c>
      <c r="L209" s="118" t="s">
        <v>225</v>
      </c>
      <c r="M209" s="119"/>
      <c r="N209" s="120" t="s">
        <v>56</v>
      </c>
      <c r="O209" s="120"/>
      <c r="P209" s="120"/>
    </row>
    <row r="210" spans="1:16" s="58" customFormat="1" ht="18">
      <c r="A210"/>
      <c r="B210" s="116">
        <v>2026</v>
      </c>
      <c r="C210" s="116">
        <v>21</v>
      </c>
      <c r="D210" s="169">
        <v>43</v>
      </c>
      <c r="E210" s="116">
        <v>1</v>
      </c>
      <c r="F210" s="116">
        <v>1</v>
      </c>
      <c r="G210" s="116">
        <v>2</v>
      </c>
      <c r="H210" s="116">
        <v>5000</v>
      </c>
      <c r="I210" s="116">
        <v>5200</v>
      </c>
      <c r="J210" s="116">
        <v>522</v>
      </c>
      <c r="K210" s="117">
        <v>97</v>
      </c>
      <c r="L210" s="118" t="s">
        <v>166</v>
      </c>
      <c r="M210" s="119"/>
      <c r="N210" s="120" t="s">
        <v>56</v>
      </c>
      <c r="O210" s="120"/>
      <c r="P210" s="120"/>
    </row>
    <row r="211" spans="1:16" s="58" customFormat="1" ht="18">
      <c r="A211"/>
      <c r="B211" s="116">
        <v>2026</v>
      </c>
      <c r="C211" s="116">
        <v>21</v>
      </c>
      <c r="D211" s="169">
        <v>43</v>
      </c>
      <c r="E211" s="116">
        <v>1</v>
      </c>
      <c r="F211" s="116">
        <v>1</v>
      </c>
      <c r="G211" s="116">
        <v>2</v>
      </c>
      <c r="H211" s="116">
        <v>5000</v>
      </c>
      <c r="I211" s="116">
        <v>5200</v>
      </c>
      <c r="J211" s="116">
        <v>522</v>
      </c>
      <c r="K211" s="117">
        <v>104</v>
      </c>
      <c r="L211" s="118" t="s">
        <v>226</v>
      </c>
      <c r="M211" s="119"/>
      <c r="N211" s="120" t="s">
        <v>56</v>
      </c>
      <c r="O211" s="120"/>
      <c r="P211" s="120"/>
    </row>
    <row r="212" spans="1:16" s="58" customFormat="1" ht="18">
      <c r="A212"/>
      <c r="B212" s="116">
        <v>2026</v>
      </c>
      <c r="C212" s="116">
        <v>21</v>
      </c>
      <c r="D212" s="169">
        <v>43</v>
      </c>
      <c r="E212" s="116">
        <v>1</v>
      </c>
      <c r="F212" s="116">
        <v>1</v>
      </c>
      <c r="G212" s="116">
        <v>2</v>
      </c>
      <c r="H212" s="116">
        <v>5000</v>
      </c>
      <c r="I212" s="116">
        <v>5200</v>
      </c>
      <c r="J212" s="116">
        <v>522</v>
      </c>
      <c r="K212" s="117">
        <v>143</v>
      </c>
      <c r="L212" s="118" t="s">
        <v>227</v>
      </c>
      <c r="M212" s="119"/>
      <c r="N212" s="120" t="s">
        <v>56</v>
      </c>
      <c r="O212" s="120"/>
      <c r="P212" s="120"/>
    </row>
    <row r="213" spans="1:16" s="58" customFormat="1" ht="18">
      <c r="A213"/>
      <c r="B213" s="116">
        <v>2026</v>
      </c>
      <c r="C213" s="116">
        <v>21</v>
      </c>
      <c r="D213" s="169">
        <v>43</v>
      </c>
      <c r="E213" s="116">
        <v>1</v>
      </c>
      <c r="F213" s="116">
        <v>1</v>
      </c>
      <c r="G213" s="116">
        <v>2</v>
      </c>
      <c r="H213" s="116">
        <v>5000</v>
      </c>
      <c r="I213" s="116">
        <v>5200</v>
      </c>
      <c r="J213" s="116">
        <v>522</v>
      </c>
      <c r="K213" s="117">
        <v>215</v>
      </c>
      <c r="L213" s="118" t="s">
        <v>228</v>
      </c>
      <c r="M213" s="119"/>
      <c r="N213" s="120" t="s">
        <v>56</v>
      </c>
      <c r="O213" s="120"/>
      <c r="P213" s="120"/>
    </row>
    <row r="214" spans="1:16" s="58" customFormat="1" ht="18">
      <c r="A214"/>
      <c r="B214" s="116">
        <v>2026</v>
      </c>
      <c r="C214" s="116">
        <v>21</v>
      </c>
      <c r="D214" s="169">
        <v>43</v>
      </c>
      <c r="E214" s="116">
        <v>1</v>
      </c>
      <c r="F214" s="116">
        <v>1</v>
      </c>
      <c r="G214" s="116">
        <v>2</v>
      </c>
      <c r="H214" s="116">
        <v>5000</v>
      </c>
      <c r="I214" s="116">
        <v>5200</v>
      </c>
      <c r="J214" s="116">
        <v>522</v>
      </c>
      <c r="K214" s="117">
        <v>248</v>
      </c>
      <c r="L214" s="118" t="s">
        <v>229</v>
      </c>
      <c r="M214" s="119"/>
      <c r="N214" s="120" t="s">
        <v>56</v>
      </c>
      <c r="O214" s="120"/>
      <c r="P214" s="120"/>
    </row>
    <row r="215" spans="1:16" s="58" customFormat="1" ht="18">
      <c r="A215"/>
      <c r="B215" s="116">
        <v>2026</v>
      </c>
      <c r="C215" s="116">
        <v>21</v>
      </c>
      <c r="D215" s="169">
        <v>43</v>
      </c>
      <c r="E215" s="116">
        <v>1</v>
      </c>
      <c r="F215" s="116">
        <v>1</v>
      </c>
      <c r="G215" s="116">
        <v>2</v>
      </c>
      <c r="H215" s="116">
        <v>5000</v>
      </c>
      <c r="I215" s="116">
        <v>5200</v>
      </c>
      <c r="J215" s="116">
        <v>522</v>
      </c>
      <c r="K215" s="117">
        <v>399</v>
      </c>
      <c r="L215" s="118" t="s">
        <v>230</v>
      </c>
      <c r="M215" s="119"/>
      <c r="N215" s="120" t="s">
        <v>56</v>
      </c>
      <c r="O215" s="120"/>
      <c r="P215" s="120"/>
    </row>
    <row r="216" spans="1:16" s="58" customFormat="1" ht="18">
      <c r="A216"/>
      <c r="B216" s="116">
        <v>2026</v>
      </c>
      <c r="C216" s="116">
        <v>21</v>
      </c>
      <c r="D216" s="169">
        <v>43</v>
      </c>
      <c r="E216" s="116">
        <v>1</v>
      </c>
      <c r="F216" s="116">
        <v>1</v>
      </c>
      <c r="G216" s="116">
        <v>2</v>
      </c>
      <c r="H216" s="116">
        <v>5000</v>
      </c>
      <c r="I216" s="116">
        <v>5200</v>
      </c>
      <c r="J216" s="116">
        <v>522</v>
      </c>
      <c r="K216" s="117">
        <v>490</v>
      </c>
      <c r="L216" s="118" t="s">
        <v>231</v>
      </c>
      <c r="M216" s="119"/>
      <c r="N216" s="120" t="s">
        <v>56</v>
      </c>
      <c r="O216" s="120"/>
      <c r="P216" s="120"/>
    </row>
    <row r="217" spans="1:16" s="58" customFormat="1" ht="18">
      <c r="A217"/>
      <c r="B217" s="116">
        <v>2026</v>
      </c>
      <c r="C217" s="116">
        <v>21</v>
      </c>
      <c r="D217" s="169">
        <v>43</v>
      </c>
      <c r="E217" s="116">
        <v>1</v>
      </c>
      <c r="F217" s="116">
        <v>1</v>
      </c>
      <c r="G217" s="116">
        <v>2</v>
      </c>
      <c r="H217" s="116">
        <v>5000</v>
      </c>
      <c r="I217" s="116">
        <v>5200</v>
      </c>
      <c r="J217" s="116">
        <v>522</v>
      </c>
      <c r="K217" s="117">
        <v>508</v>
      </c>
      <c r="L217" s="118" t="s">
        <v>232</v>
      </c>
      <c r="M217" s="119"/>
      <c r="N217" s="120" t="s">
        <v>56</v>
      </c>
      <c r="O217" s="120"/>
      <c r="P217" s="120"/>
    </row>
    <row r="218" spans="1:16" s="58" customFormat="1" ht="18">
      <c r="A218"/>
      <c r="B218" s="116">
        <v>2026</v>
      </c>
      <c r="C218" s="116">
        <v>21</v>
      </c>
      <c r="D218" s="169">
        <v>43</v>
      </c>
      <c r="E218" s="116">
        <v>1</v>
      </c>
      <c r="F218" s="116">
        <v>1</v>
      </c>
      <c r="G218" s="116">
        <v>2</v>
      </c>
      <c r="H218" s="116">
        <v>5000</v>
      </c>
      <c r="I218" s="116">
        <v>5200</v>
      </c>
      <c r="J218" s="116">
        <v>522</v>
      </c>
      <c r="K218" s="117">
        <v>558</v>
      </c>
      <c r="L218" s="118" t="s">
        <v>233</v>
      </c>
      <c r="M218" s="119"/>
      <c r="N218" s="120" t="s">
        <v>56</v>
      </c>
      <c r="O218" s="120"/>
      <c r="P218" s="120"/>
    </row>
    <row r="219" spans="1:16" ht="18">
      <c r="B219" s="116">
        <v>2026</v>
      </c>
      <c r="C219" s="116">
        <v>21</v>
      </c>
      <c r="D219" s="169">
        <v>43</v>
      </c>
      <c r="E219" s="116">
        <v>1</v>
      </c>
      <c r="F219" s="116">
        <v>1</v>
      </c>
      <c r="G219" s="116">
        <v>2</v>
      </c>
      <c r="H219" s="116">
        <v>5000</v>
      </c>
      <c r="I219" s="116">
        <v>5200</v>
      </c>
      <c r="J219" s="116">
        <v>522</v>
      </c>
      <c r="K219" s="117">
        <v>570</v>
      </c>
      <c r="L219" s="118" t="s">
        <v>234</v>
      </c>
      <c r="M219" s="119"/>
      <c r="N219" s="120" t="s">
        <v>56</v>
      </c>
      <c r="O219" s="120"/>
      <c r="P219" s="120"/>
    </row>
    <row r="220" spans="1:16" ht="18">
      <c r="B220" s="116">
        <v>2026</v>
      </c>
      <c r="C220" s="116">
        <v>21</v>
      </c>
      <c r="D220" s="169">
        <v>43</v>
      </c>
      <c r="E220" s="116">
        <v>1</v>
      </c>
      <c r="F220" s="116">
        <v>1</v>
      </c>
      <c r="G220" s="116">
        <v>2</v>
      </c>
      <c r="H220" s="116">
        <v>5000</v>
      </c>
      <c r="I220" s="116">
        <v>5200</v>
      </c>
      <c r="J220" s="116">
        <v>522</v>
      </c>
      <c r="K220" s="117">
        <v>572</v>
      </c>
      <c r="L220" s="118" t="s">
        <v>235</v>
      </c>
      <c r="M220" s="119"/>
      <c r="N220" s="120" t="s">
        <v>56</v>
      </c>
      <c r="O220" s="120"/>
      <c r="P220" s="120"/>
    </row>
    <row r="221" spans="1:16" ht="18">
      <c r="B221" s="116">
        <v>2026</v>
      </c>
      <c r="C221" s="116">
        <v>21</v>
      </c>
      <c r="D221" s="169">
        <v>43</v>
      </c>
      <c r="E221" s="116">
        <v>1</v>
      </c>
      <c r="F221" s="116">
        <v>1</v>
      </c>
      <c r="G221" s="116">
        <v>2</v>
      </c>
      <c r="H221" s="116">
        <v>5000</v>
      </c>
      <c r="I221" s="116">
        <v>5200</v>
      </c>
      <c r="J221" s="116">
        <v>522</v>
      </c>
      <c r="K221" s="117">
        <v>573</v>
      </c>
      <c r="L221" s="118" t="s">
        <v>236</v>
      </c>
      <c r="M221" s="119"/>
      <c r="N221" s="120" t="s">
        <v>56</v>
      </c>
      <c r="O221" s="120"/>
      <c r="P221" s="120"/>
    </row>
    <row r="222" spans="1:16" ht="18">
      <c r="B222" s="116">
        <v>2026</v>
      </c>
      <c r="C222" s="116">
        <v>21</v>
      </c>
      <c r="D222" s="169">
        <v>43</v>
      </c>
      <c r="E222" s="116">
        <v>1</v>
      </c>
      <c r="F222" s="116">
        <v>1</v>
      </c>
      <c r="G222" s="116">
        <v>2</v>
      </c>
      <c r="H222" s="116">
        <v>5000</v>
      </c>
      <c r="I222" s="116">
        <v>5200</v>
      </c>
      <c r="J222" s="116">
        <v>522</v>
      </c>
      <c r="K222" s="117">
        <v>574</v>
      </c>
      <c r="L222" s="118" t="s">
        <v>237</v>
      </c>
      <c r="M222" s="119"/>
      <c r="N222" s="120" t="s">
        <v>56</v>
      </c>
      <c r="O222" s="120"/>
      <c r="P222" s="120"/>
    </row>
    <row r="223" spans="1:16" ht="18">
      <c r="B223" s="116">
        <v>2026</v>
      </c>
      <c r="C223" s="116">
        <v>21</v>
      </c>
      <c r="D223" s="169">
        <v>43</v>
      </c>
      <c r="E223" s="116">
        <v>1</v>
      </c>
      <c r="F223" s="116">
        <v>1</v>
      </c>
      <c r="G223" s="116">
        <v>2</v>
      </c>
      <c r="H223" s="116">
        <v>5000</v>
      </c>
      <c r="I223" s="116">
        <v>5200</v>
      </c>
      <c r="J223" s="116">
        <v>522</v>
      </c>
      <c r="K223" s="117">
        <v>575</v>
      </c>
      <c r="L223" s="118" t="s">
        <v>238</v>
      </c>
      <c r="M223" s="119"/>
      <c r="N223" s="120" t="s">
        <v>56</v>
      </c>
      <c r="O223" s="120"/>
      <c r="P223" s="120"/>
    </row>
    <row r="224" spans="1:16" ht="18">
      <c r="B224" s="116">
        <v>2026</v>
      </c>
      <c r="C224" s="116">
        <v>21</v>
      </c>
      <c r="D224" s="169">
        <v>43</v>
      </c>
      <c r="E224" s="116">
        <v>1</v>
      </c>
      <c r="F224" s="116">
        <v>1</v>
      </c>
      <c r="G224" s="116">
        <v>2</v>
      </c>
      <c r="H224" s="116">
        <v>5000</v>
      </c>
      <c r="I224" s="116">
        <v>5200</v>
      </c>
      <c r="J224" s="116">
        <v>522</v>
      </c>
      <c r="K224" s="117">
        <v>576</v>
      </c>
      <c r="L224" s="118" t="s">
        <v>239</v>
      </c>
      <c r="M224" s="119"/>
      <c r="N224" s="120" t="s">
        <v>56</v>
      </c>
      <c r="O224" s="120"/>
      <c r="P224" s="120"/>
    </row>
    <row r="225" spans="2:16" ht="18">
      <c r="B225" s="116">
        <v>2026</v>
      </c>
      <c r="C225" s="116">
        <v>21</v>
      </c>
      <c r="D225" s="169">
        <v>43</v>
      </c>
      <c r="E225" s="116">
        <v>1</v>
      </c>
      <c r="F225" s="116">
        <v>1</v>
      </c>
      <c r="G225" s="116">
        <v>2</v>
      </c>
      <c r="H225" s="116">
        <v>5000</v>
      </c>
      <c r="I225" s="116">
        <v>5200</v>
      </c>
      <c r="J225" s="116">
        <v>522</v>
      </c>
      <c r="K225" s="117">
        <v>621</v>
      </c>
      <c r="L225" s="118" t="s">
        <v>240</v>
      </c>
      <c r="M225" s="119"/>
      <c r="N225" s="120" t="s">
        <v>58</v>
      </c>
      <c r="O225" s="120"/>
      <c r="P225" s="120"/>
    </row>
    <row r="226" spans="2:16" ht="18">
      <c r="B226" s="116">
        <v>2026</v>
      </c>
      <c r="C226" s="116">
        <v>21</v>
      </c>
      <c r="D226" s="169">
        <v>43</v>
      </c>
      <c r="E226" s="116">
        <v>1</v>
      </c>
      <c r="F226" s="116">
        <v>1</v>
      </c>
      <c r="G226" s="116">
        <v>2</v>
      </c>
      <c r="H226" s="116">
        <v>5000</v>
      </c>
      <c r="I226" s="116">
        <v>5200</v>
      </c>
      <c r="J226" s="116">
        <v>522</v>
      </c>
      <c r="K226" s="117">
        <v>662</v>
      </c>
      <c r="L226" s="118" t="s">
        <v>241</v>
      </c>
      <c r="M226" s="119"/>
      <c r="N226" s="120" t="s">
        <v>56</v>
      </c>
      <c r="O226" s="120"/>
      <c r="P226" s="120"/>
    </row>
    <row r="227" spans="2:16" ht="18">
      <c r="B227" s="116">
        <v>2026</v>
      </c>
      <c r="C227" s="116">
        <v>21</v>
      </c>
      <c r="D227" s="169">
        <v>43</v>
      </c>
      <c r="E227" s="116">
        <v>1</v>
      </c>
      <c r="F227" s="116">
        <v>1</v>
      </c>
      <c r="G227" s="116">
        <v>2</v>
      </c>
      <c r="H227" s="116">
        <v>5000</v>
      </c>
      <c r="I227" s="116">
        <v>5200</v>
      </c>
      <c r="J227" s="116">
        <v>522</v>
      </c>
      <c r="K227" s="117">
        <v>733</v>
      </c>
      <c r="L227" s="118" t="s">
        <v>242</v>
      </c>
      <c r="M227" s="119"/>
      <c r="N227" s="120" t="s">
        <v>58</v>
      </c>
      <c r="O227" s="120"/>
      <c r="P227" s="120"/>
    </row>
    <row r="228" spans="2:16" ht="18">
      <c r="B228" s="116">
        <v>2026</v>
      </c>
      <c r="C228" s="116">
        <v>21</v>
      </c>
      <c r="D228" s="169">
        <v>43</v>
      </c>
      <c r="E228" s="116">
        <v>1</v>
      </c>
      <c r="F228" s="116">
        <v>1</v>
      </c>
      <c r="G228" s="116">
        <v>2</v>
      </c>
      <c r="H228" s="116">
        <v>5000</v>
      </c>
      <c r="I228" s="116">
        <v>5200</v>
      </c>
      <c r="J228" s="116">
        <v>522</v>
      </c>
      <c r="K228" s="117">
        <v>741</v>
      </c>
      <c r="L228" s="118" t="s">
        <v>243</v>
      </c>
      <c r="M228" s="119"/>
      <c r="N228" s="120" t="s">
        <v>58</v>
      </c>
      <c r="O228" s="120"/>
      <c r="P228" s="120"/>
    </row>
    <row r="229" spans="2:16" ht="18">
      <c r="B229" s="116">
        <v>2026</v>
      </c>
      <c r="C229" s="116">
        <v>21</v>
      </c>
      <c r="D229" s="169">
        <v>43</v>
      </c>
      <c r="E229" s="116">
        <v>1</v>
      </c>
      <c r="F229" s="116">
        <v>1</v>
      </c>
      <c r="G229" s="116">
        <v>2</v>
      </c>
      <c r="H229" s="116">
        <v>5000</v>
      </c>
      <c r="I229" s="116">
        <v>5200</v>
      </c>
      <c r="J229" s="116">
        <v>522</v>
      </c>
      <c r="K229" s="117">
        <v>784</v>
      </c>
      <c r="L229" s="118" t="s">
        <v>244</v>
      </c>
      <c r="M229" s="119"/>
      <c r="N229" s="120" t="s">
        <v>245</v>
      </c>
      <c r="O229" s="120"/>
      <c r="P229" s="120"/>
    </row>
    <row r="230" spans="2:16" ht="18">
      <c r="B230" s="116">
        <v>2026</v>
      </c>
      <c r="C230" s="116">
        <v>21</v>
      </c>
      <c r="D230" s="169">
        <v>43</v>
      </c>
      <c r="E230" s="116">
        <v>1</v>
      </c>
      <c r="F230" s="116">
        <v>1</v>
      </c>
      <c r="G230" s="116">
        <v>2</v>
      </c>
      <c r="H230" s="116">
        <v>5000</v>
      </c>
      <c r="I230" s="116">
        <v>5200</v>
      </c>
      <c r="J230" s="116">
        <v>522</v>
      </c>
      <c r="K230" s="117">
        <v>874</v>
      </c>
      <c r="L230" s="118" t="s">
        <v>246</v>
      </c>
      <c r="M230" s="119"/>
      <c r="N230" s="120" t="s">
        <v>56</v>
      </c>
      <c r="O230" s="120"/>
      <c r="P230" s="120"/>
    </row>
    <row r="231" spans="2:16" ht="18">
      <c r="B231" s="116">
        <v>2026</v>
      </c>
      <c r="C231" s="116">
        <v>21</v>
      </c>
      <c r="D231" s="169">
        <v>43</v>
      </c>
      <c r="E231" s="116">
        <v>1</v>
      </c>
      <c r="F231" s="116">
        <v>1</v>
      </c>
      <c r="G231" s="116">
        <v>2</v>
      </c>
      <c r="H231" s="116">
        <v>5000</v>
      </c>
      <c r="I231" s="116">
        <v>5200</v>
      </c>
      <c r="J231" s="116">
        <v>522</v>
      </c>
      <c r="K231" s="117">
        <v>899</v>
      </c>
      <c r="L231" s="118" t="s">
        <v>247</v>
      </c>
      <c r="M231" s="119"/>
      <c r="N231" s="120" t="s">
        <v>56</v>
      </c>
      <c r="O231" s="120"/>
      <c r="P231" s="120"/>
    </row>
    <row r="232" spans="2:16" ht="18">
      <c r="B232" s="116">
        <v>2026</v>
      </c>
      <c r="C232" s="116">
        <v>21</v>
      </c>
      <c r="D232" s="169">
        <v>43</v>
      </c>
      <c r="E232" s="116">
        <v>1</v>
      </c>
      <c r="F232" s="116">
        <v>1</v>
      </c>
      <c r="G232" s="116">
        <v>2</v>
      </c>
      <c r="H232" s="116">
        <v>5000</v>
      </c>
      <c r="I232" s="116">
        <v>5200</v>
      </c>
      <c r="J232" s="116">
        <v>522</v>
      </c>
      <c r="K232" s="117">
        <v>980</v>
      </c>
      <c r="L232" s="118" t="s">
        <v>248</v>
      </c>
      <c r="M232" s="119"/>
      <c r="N232" s="120" t="s">
        <v>56</v>
      </c>
      <c r="O232" s="120"/>
      <c r="P232" s="120"/>
    </row>
    <row r="233" spans="2:16" ht="18">
      <c r="B233" s="116">
        <v>2026</v>
      </c>
      <c r="C233" s="116">
        <v>21</v>
      </c>
      <c r="D233" s="169">
        <v>43</v>
      </c>
      <c r="E233" s="116">
        <v>1</v>
      </c>
      <c r="F233" s="116">
        <v>1</v>
      </c>
      <c r="G233" s="116">
        <v>2</v>
      </c>
      <c r="H233" s="116">
        <v>5000</v>
      </c>
      <c r="I233" s="116">
        <v>5200</v>
      </c>
      <c r="J233" s="116">
        <v>522</v>
      </c>
      <c r="K233" s="117">
        <v>1009</v>
      </c>
      <c r="L233" s="118" t="s">
        <v>249</v>
      </c>
      <c r="M233" s="119"/>
      <c r="N233" s="120" t="s">
        <v>56</v>
      </c>
      <c r="O233" s="120"/>
      <c r="P233" s="120"/>
    </row>
    <row r="234" spans="2:16" ht="18">
      <c r="B234" s="116">
        <v>2026</v>
      </c>
      <c r="C234" s="116">
        <v>21</v>
      </c>
      <c r="D234" s="169">
        <v>43</v>
      </c>
      <c r="E234" s="116">
        <v>1</v>
      </c>
      <c r="F234" s="116">
        <v>1</v>
      </c>
      <c r="G234" s="116">
        <v>2</v>
      </c>
      <c r="H234" s="116">
        <v>5000</v>
      </c>
      <c r="I234" s="116">
        <v>5200</v>
      </c>
      <c r="J234" s="116">
        <v>522</v>
      </c>
      <c r="K234" s="117">
        <v>1010</v>
      </c>
      <c r="L234" s="118" t="s">
        <v>250</v>
      </c>
      <c r="M234" s="119"/>
      <c r="N234" s="120" t="s">
        <v>56</v>
      </c>
      <c r="O234" s="120"/>
      <c r="P234" s="120"/>
    </row>
    <row r="235" spans="2:16" ht="18">
      <c r="B235" s="116">
        <v>2026</v>
      </c>
      <c r="C235" s="116">
        <v>21</v>
      </c>
      <c r="D235" s="169">
        <v>43</v>
      </c>
      <c r="E235" s="116">
        <v>1</v>
      </c>
      <c r="F235" s="116">
        <v>1</v>
      </c>
      <c r="G235" s="116">
        <v>2</v>
      </c>
      <c r="H235" s="116">
        <v>5000</v>
      </c>
      <c r="I235" s="116">
        <v>5200</v>
      </c>
      <c r="J235" s="116">
        <v>522</v>
      </c>
      <c r="K235" s="117">
        <v>1062</v>
      </c>
      <c r="L235" s="118" t="s">
        <v>251</v>
      </c>
      <c r="M235" s="119"/>
      <c r="N235" s="120" t="s">
        <v>56</v>
      </c>
      <c r="O235" s="120"/>
      <c r="P235" s="120"/>
    </row>
    <row r="236" spans="2:16" ht="18">
      <c r="B236" s="116">
        <v>2026</v>
      </c>
      <c r="C236" s="116">
        <v>21</v>
      </c>
      <c r="D236" s="169">
        <v>43</v>
      </c>
      <c r="E236" s="116">
        <v>1</v>
      </c>
      <c r="F236" s="116">
        <v>1</v>
      </c>
      <c r="G236" s="116">
        <v>2</v>
      </c>
      <c r="H236" s="116">
        <v>5000</v>
      </c>
      <c r="I236" s="116">
        <v>5200</v>
      </c>
      <c r="J236" s="116">
        <v>522</v>
      </c>
      <c r="K236" s="117">
        <v>1066</v>
      </c>
      <c r="L236" s="118" t="s">
        <v>252</v>
      </c>
      <c r="M236" s="119"/>
      <c r="N236" s="120" t="s">
        <v>56</v>
      </c>
      <c r="O236" s="120"/>
      <c r="P236" s="120"/>
    </row>
    <row r="237" spans="2:16" ht="18">
      <c r="B237" s="116">
        <v>2026</v>
      </c>
      <c r="C237" s="116">
        <v>21</v>
      </c>
      <c r="D237" s="169">
        <v>43</v>
      </c>
      <c r="E237" s="116">
        <v>1</v>
      </c>
      <c r="F237" s="116">
        <v>1</v>
      </c>
      <c r="G237" s="116">
        <v>2</v>
      </c>
      <c r="H237" s="116">
        <v>5000</v>
      </c>
      <c r="I237" s="116">
        <v>5200</v>
      </c>
      <c r="J237" s="116">
        <v>522</v>
      </c>
      <c r="K237" s="117">
        <v>1105</v>
      </c>
      <c r="L237" s="118" t="s">
        <v>253</v>
      </c>
      <c r="M237" s="119"/>
      <c r="N237" s="120" t="s">
        <v>56</v>
      </c>
      <c r="O237" s="120"/>
      <c r="P237" s="120"/>
    </row>
    <row r="238" spans="2:16" ht="18">
      <c r="B238" s="116">
        <v>2026</v>
      </c>
      <c r="C238" s="116">
        <v>21</v>
      </c>
      <c r="D238" s="169">
        <v>43</v>
      </c>
      <c r="E238" s="116">
        <v>1</v>
      </c>
      <c r="F238" s="116">
        <v>1</v>
      </c>
      <c r="G238" s="116">
        <v>2</v>
      </c>
      <c r="H238" s="116">
        <v>5000</v>
      </c>
      <c r="I238" s="116">
        <v>5200</v>
      </c>
      <c r="J238" s="116">
        <v>522</v>
      </c>
      <c r="K238" s="117">
        <v>1129</v>
      </c>
      <c r="L238" s="118" t="s">
        <v>254</v>
      </c>
      <c r="M238" s="119"/>
      <c r="N238" s="120" t="s">
        <v>56</v>
      </c>
      <c r="O238" s="120"/>
      <c r="P238" s="120"/>
    </row>
    <row r="239" spans="2:16" ht="18">
      <c r="B239" s="116">
        <v>2026</v>
      </c>
      <c r="C239" s="116">
        <v>21</v>
      </c>
      <c r="D239" s="169">
        <v>43</v>
      </c>
      <c r="E239" s="116">
        <v>1</v>
      </c>
      <c r="F239" s="116">
        <v>1</v>
      </c>
      <c r="G239" s="116">
        <v>2</v>
      </c>
      <c r="H239" s="116">
        <v>5000</v>
      </c>
      <c r="I239" s="116">
        <v>5200</v>
      </c>
      <c r="J239" s="116">
        <v>522</v>
      </c>
      <c r="K239" s="117">
        <v>1138</v>
      </c>
      <c r="L239" s="118" t="s">
        <v>255</v>
      </c>
      <c r="M239" s="119"/>
      <c r="N239" s="120" t="s">
        <v>56</v>
      </c>
      <c r="O239" s="120"/>
      <c r="P239" s="120"/>
    </row>
    <row r="240" spans="2:16" ht="18">
      <c r="B240" s="116">
        <v>2026</v>
      </c>
      <c r="C240" s="116">
        <v>21</v>
      </c>
      <c r="D240" s="169">
        <v>43</v>
      </c>
      <c r="E240" s="116">
        <v>1</v>
      </c>
      <c r="F240" s="116">
        <v>1</v>
      </c>
      <c r="G240" s="116">
        <v>2</v>
      </c>
      <c r="H240" s="116">
        <v>5000</v>
      </c>
      <c r="I240" s="116">
        <v>5200</v>
      </c>
      <c r="J240" s="116">
        <v>522</v>
      </c>
      <c r="K240" s="117">
        <v>1149</v>
      </c>
      <c r="L240" s="118" t="s">
        <v>256</v>
      </c>
      <c r="M240" s="119"/>
      <c r="N240" s="120" t="s">
        <v>56</v>
      </c>
      <c r="O240" s="120"/>
      <c r="P240" s="120"/>
    </row>
    <row r="241" spans="1:16" ht="18">
      <c r="B241" s="116">
        <v>2026</v>
      </c>
      <c r="C241" s="116">
        <v>21</v>
      </c>
      <c r="D241" s="169">
        <v>43</v>
      </c>
      <c r="E241" s="116">
        <v>1</v>
      </c>
      <c r="F241" s="116">
        <v>1</v>
      </c>
      <c r="G241" s="116">
        <v>2</v>
      </c>
      <c r="H241" s="116">
        <v>5000</v>
      </c>
      <c r="I241" s="116">
        <v>5200</v>
      </c>
      <c r="J241" s="116">
        <v>522</v>
      </c>
      <c r="K241" s="117">
        <v>1172</v>
      </c>
      <c r="L241" s="118" t="s">
        <v>257</v>
      </c>
      <c r="M241" s="119"/>
      <c r="N241" s="120" t="s">
        <v>56</v>
      </c>
      <c r="O241" s="120"/>
      <c r="P241" s="120"/>
    </row>
    <row r="242" spans="1:16" ht="18">
      <c r="B242" s="116">
        <v>2026</v>
      </c>
      <c r="C242" s="116">
        <v>21</v>
      </c>
      <c r="D242" s="169">
        <v>43</v>
      </c>
      <c r="E242" s="116">
        <v>1</v>
      </c>
      <c r="F242" s="116">
        <v>1</v>
      </c>
      <c r="G242" s="116">
        <v>2</v>
      </c>
      <c r="H242" s="116">
        <v>5000</v>
      </c>
      <c r="I242" s="116">
        <v>5200</v>
      </c>
      <c r="J242" s="116">
        <v>522</v>
      </c>
      <c r="K242" s="117">
        <v>1212</v>
      </c>
      <c r="L242" s="118" t="s">
        <v>258</v>
      </c>
      <c r="M242" s="119"/>
      <c r="N242" s="120" t="s">
        <v>56</v>
      </c>
      <c r="O242" s="120"/>
      <c r="P242" s="120"/>
    </row>
    <row r="243" spans="1:16" ht="18">
      <c r="B243" s="116">
        <v>2026</v>
      </c>
      <c r="C243" s="116">
        <v>21</v>
      </c>
      <c r="D243" s="169">
        <v>43</v>
      </c>
      <c r="E243" s="116">
        <v>1</v>
      </c>
      <c r="F243" s="116">
        <v>1</v>
      </c>
      <c r="G243" s="116">
        <v>2</v>
      </c>
      <c r="H243" s="116">
        <v>5000</v>
      </c>
      <c r="I243" s="116">
        <v>5200</v>
      </c>
      <c r="J243" s="116">
        <v>522</v>
      </c>
      <c r="K243" s="117">
        <v>1292</v>
      </c>
      <c r="L243" s="118" t="s">
        <v>259</v>
      </c>
      <c r="M243" s="119"/>
      <c r="N243" s="120" t="s">
        <v>56</v>
      </c>
      <c r="O243" s="120"/>
      <c r="P243" s="120"/>
    </row>
    <row r="244" spans="1:16" ht="18">
      <c r="B244" s="116">
        <v>2026</v>
      </c>
      <c r="C244" s="116">
        <v>21</v>
      </c>
      <c r="D244" s="169">
        <v>43</v>
      </c>
      <c r="E244" s="116">
        <v>1</v>
      </c>
      <c r="F244" s="116">
        <v>1</v>
      </c>
      <c r="G244" s="116">
        <v>2</v>
      </c>
      <c r="H244" s="116">
        <v>5000</v>
      </c>
      <c r="I244" s="116">
        <v>5200</v>
      </c>
      <c r="J244" s="116">
        <v>522</v>
      </c>
      <c r="K244" s="117">
        <v>1365</v>
      </c>
      <c r="L244" s="118" t="s">
        <v>260</v>
      </c>
      <c r="M244" s="119"/>
      <c r="N244" s="120" t="s">
        <v>56</v>
      </c>
      <c r="O244" s="120"/>
      <c r="P244" s="120"/>
    </row>
    <row r="245" spans="1:16" ht="18">
      <c r="B245" s="116">
        <v>2026</v>
      </c>
      <c r="C245" s="116">
        <v>21</v>
      </c>
      <c r="D245" s="169">
        <v>43</v>
      </c>
      <c r="E245" s="116">
        <v>1</v>
      </c>
      <c r="F245" s="116">
        <v>1</v>
      </c>
      <c r="G245" s="116">
        <v>2</v>
      </c>
      <c r="H245" s="116">
        <v>5000</v>
      </c>
      <c r="I245" s="116">
        <v>5200</v>
      </c>
      <c r="J245" s="116">
        <v>522</v>
      </c>
      <c r="K245" s="117">
        <v>1417</v>
      </c>
      <c r="L245" s="118" t="s">
        <v>261</v>
      </c>
      <c r="M245" s="119"/>
      <c r="N245" s="120" t="s">
        <v>56</v>
      </c>
      <c r="O245" s="120"/>
      <c r="P245" s="120"/>
    </row>
    <row r="246" spans="1:16" ht="18">
      <c r="B246" s="116">
        <v>2026</v>
      </c>
      <c r="C246" s="116">
        <v>21</v>
      </c>
      <c r="D246" s="169">
        <v>43</v>
      </c>
      <c r="E246" s="116">
        <v>1</v>
      </c>
      <c r="F246" s="116">
        <v>1</v>
      </c>
      <c r="G246" s="116">
        <v>2</v>
      </c>
      <c r="H246" s="116">
        <v>5000</v>
      </c>
      <c r="I246" s="116">
        <v>5200</v>
      </c>
      <c r="J246" s="116">
        <v>522</v>
      </c>
      <c r="K246" s="117">
        <v>1455</v>
      </c>
      <c r="L246" s="118" t="s">
        <v>262</v>
      </c>
      <c r="M246" s="119"/>
      <c r="N246" s="120" t="s">
        <v>56</v>
      </c>
      <c r="O246" s="120"/>
      <c r="P246" s="120"/>
    </row>
    <row r="247" spans="1:16" ht="18">
      <c r="B247" s="110">
        <v>2026</v>
      </c>
      <c r="C247" s="110">
        <v>21</v>
      </c>
      <c r="D247" s="168">
        <v>43</v>
      </c>
      <c r="E247" s="110">
        <v>1</v>
      </c>
      <c r="F247" s="110">
        <v>1</v>
      </c>
      <c r="G247" s="110">
        <v>2</v>
      </c>
      <c r="H247" s="110">
        <v>5000</v>
      </c>
      <c r="I247" s="110">
        <v>5200</v>
      </c>
      <c r="J247" s="110">
        <v>523</v>
      </c>
      <c r="K247" s="125"/>
      <c r="L247" s="123" t="s">
        <v>263</v>
      </c>
      <c r="M247" s="112">
        <f>SUBTOTAL(9,M248:M251)</f>
        <v>0</v>
      </c>
      <c r="N247" s="110"/>
      <c r="O247" s="110"/>
      <c r="P247" s="111"/>
    </row>
    <row r="248" spans="1:16" ht="18">
      <c r="B248" s="116">
        <v>2026</v>
      </c>
      <c r="C248" s="116">
        <v>21</v>
      </c>
      <c r="D248" s="169">
        <v>43</v>
      </c>
      <c r="E248" s="116">
        <v>1</v>
      </c>
      <c r="F248" s="116">
        <v>1</v>
      </c>
      <c r="G248" s="116">
        <v>2</v>
      </c>
      <c r="H248" s="116">
        <v>5000</v>
      </c>
      <c r="I248" s="116">
        <v>5200</v>
      </c>
      <c r="J248" s="116">
        <v>523</v>
      </c>
      <c r="K248" s="117">
        <v>202</v>
      </c>
      <c r="L248" s="118" t="s">
        <v>264</v>
      </c>
      <c r="M248" s="119"/>
      <c r="N248" s="120" t="s">
        <v>56</v>
      </c>
      <c r="O248" s="120"/>
      <c r="P248" s="120"/>
    </row>
    <row r="249" spans="1:16" ht="18">
      <c r="B249" s="116">
        <v>2026</v>
      </c>
      <c r="C249" s="116">
        <v>21</v>
      </c>
      <c r="D249" s="169">
        <v>43</v>
      </c>
      <c r="E249" s="116">
        <v>1</v>
      </c>
      <c r="F249" s="116">
        <v>1</v>
      </c>
      <c r="G249" s="116">
        <v>2</v>
      </c>
      <c r="H249" s="116">
        <v>5000</v>
      </c>
      <c r="I249" s="116">
        <v>5200</v>
      </c>
      <c r="J249" s="116">
        <v>523</v>
      </c>
      <c r="K249" s="117">
        <v>1468</v>
      </c>
      <c r="L249" s="118" t="s">
        <v>265</v>
      </c>
      <c r="M249" s="119"/>
      <c r="N249" s="120" t="s">
        <v>56</v>
      </c>
      <c r="O249" s="120"/>
      <c r="P249" s="120"/>
    </row>
    <row r="250" spans="1:16" ht="18">
      <c r="B250" s="116">
        <v>2026</v>
      </c>
      <c r="C250" s="116">
        <v>21</v>
      </c>
      <c r="D250" s="169">
        <v>43</v>
      </c>
      <c r="E250" s="116">
        <v>1</v>
      </c>
      <c r="F250" s="116">
        <v>1</v>
      </c>
      <c r="G250" s="116">
        <v>2</v>
      </c>
      <c r="H250" s="116">
        <v>5000</v>
      </c>
      <c r="I250" s="116">
        <v>5200</v>
      </c>
      <c r="J250" s="116">
        <v>523</v>
      </c>
      <c r="K250" s="117">
        <v>1508</v>
      </c>
      <c r="L250" s="118" t="s">
        <v>266</v>
      </c>
      <c r="M250" s="119"/>
      <c r="N250" s="120" t="s">
        <v>56</v>
      </c>
      <c r="O250" s="120"/>
      <c r="P250" s="120"/>
    </row>
    <row r="251" spans="1:16" ht="18">
      <c r="B251" s="116">
        <v>2026</v>
      </c>
      <c r="C251" s="116">
        <v>21</v>
      </c>
      <c r="D251" s="169">
        <v>43</v>
      </c>
      <c r="E251" s="116">
        <v>1</v>
      </c>
      <c r="F251" s="116">
        <v>1</v>
      </c>
      <c r="G251" s="116">
        <v>2</v>
      </c>
      <c r="H251" s="116">
        <v>5000</v>
      </c>
      <c r="I251" s="116">
        <v>5200</v>
      </c>
      <c r="J251" s="116">
        <v>523</v>
      </c>
      <c r="K251" s="117">
        <v>1506</v>
      </c>
      <c r="L251" s="118" t="s">
        <v>267</v>
      </c>
      <c r="M251" s="119"/>
      <c r="N251" s="120" t="s">
        <v>56</v>
      </c>
      <c r="O251" s="120"/>
      <c r="P251" s="120"/>
    </row>
    <row r="252" spans="1:16" s="58" customFormat="1" ht="18">
      <c r="A252"/>
      <c r="B252" s="103">
        <v>2026</v>
      </c>
      <c r="C252" s="103">
        <v>21</v>
      </c>
      <c r="D252" s="167">
        <v>43</v>
      </c>
      <c r="E252" s="103">
        <v>1</v>
      </c>
      <c r="F252" s="103">
        <v>1</v>
      </c>
      <c r="G252" s="103">
        <v>2</v>
      </c>
      <c r="H252" s="103">
        <v>5000</v>
      </c>
      <c r="I252" s="103">
        <v>5400</v>
      </c>
      <c r="J252" s="104"/>
      <c r="K252" s="132"/>
      <c r="L252" s="105" t="s">
        <v>268</v>
      </c>
      <c r="M252" s="106">
        <f>+M253</f>
        <v>0</v>
      </c>
      <c r="N252" s="103"/>
      <c r="O252" s="103"/>
      <c r="P252" s="104"/>
    </row>
    <row r="253" spans="1:16" s="58" customFormat="1" ht="18">
      <c r="A253"/>
      <c r="B253" s="110">
        <v>2026</v>
      </c>
      <c r="C253" s="110">
        <v>21</v>
      </c>
      <c r="D253" s="168">
        <v>43</v>
      </c>
      <c r="E253" s="110">
        <v>1</v>
      </c>
      <c r="F253" s="110">
        <v>1</v>
      </c>
      <c r="G253" s="110">
        <v>2</v>
      </c>
      <c r="H253" s="110">
        <v>5000</v>
      </c>
      <c r="I253" s="110">
        <v>5400</v>
      </c>
      <c r="J253" s="110">
        <v>541</v>
      </c>
      <c r="K253" s="125"/>
      <c r="L253" s="123" t="s">
        <v>269</v>
      </c>
      <c r="M253" s="112">
        <f>SUBTOTAL(9,M254:M258)</f>
        <v>0</v>
      </c>
      <c r="N253" s="111"/>
      <c r="O253" s="133"/>
      <c r="P253" s="115"/>
    </row>
    <row r="254" spans="1:16" s="58" customFormat="1" ht="18">
      <c r="A254"/>
      <c r="B254" s="116">
        <v>2026</v>
      </c>
      <c r="C254" s="116">
        <v>21</v>
      </c>
      <c r="D254" s="169">
        <v>43</v>
      </c>
      <c r="E254" s="116">
        <v>1</v>
      </c>
      <c r="F254" s="116">
        <v>1</v>
      </c>
      <c r="G254" s="116">
        <v>2</v>
      </c>
      <c r="H254" s="116">
        <v>5000</v>
      </c>
      <c r="I254" s="116">
        <v>5400</v>
      </c>
      <c r="J254" s="116">
        <v>541</v>
      </c>
      <c r="K254" s="117">
        <v>89</v>
      </c>
      <c r="L254" s="118" t="s">
        <v>270</v>
      </c>
      <c r="M254" s="119"/>
      <c r="N254" s="120" t="s">
        <v>56</v>
      </c>
      <c r="O254" s="120"/>
      <c r="P254" s="120"/>
    </row>
    <row r="255" spans="1:16" s="58" customFormat="1" ht="36">
      <c r="A255"/>
      <c r="B255" s="116">
        <v>2026</v>
      </c>
      <c r="C255" s="116">
        <v>21</v>
      </c>
      <c r="D255" s="169">
        <v>43</v>
      </c>
      <c r="E255" s="116">
        <v>1</v>
      </c>
      <c r="F255" s="116">
        <v>1</v>
      </c>
      <c r="G255" s="116">
        <v>2</v>
      </c>
      <c r="H255" s="116">
        <v>5000</v>
      </c>
      <c r="I255" s="116">
        <v>5400</v>
      </c>
      <c r="J255" s="116">
        <v>541</v>
      </c>
      <c r="K255" s="117">
        <v>408</v>
      </c>
      <c r="L255" s="118" t="s">
        <v>271</v>
      </c>
      <c r="M255" s="119"/>
      <c r="N255" s="120" t="s">
        <v>56</v>
      </c>
      <c r="O255" s="120"/>
      <c r="P255" s="120"/>
    </row>
    <row r="256" spans="1:16" s="58" customFormat="1" ht="36">
      <c r="A256"/>
      <c r="B256" s="116">
        <v>2026</v>
      </c>
      <c r="C256" s="116">
        <v>21</v>
      </c>
      <c r="D256" s="169">
        <v>43</v>
      </c>
      <c r="E256" s="116">
        <v>1</v>
      </c>
      <c r="F256" s="116">
        <v>1</v>
      </c>
      <c r="G256" s="116">
        <v>2</v>
      </c>
      <c r="H256" s="116">
        <v>5000</v>
      </c>
      <c r="I256" s="116">
        <v>5400</v>
      </c>
      <c r="J256" s="116">
        <v>541</v>
      </c>
      <c r="K256" s="117">
        <v>998</v>
      </c>
      <c r="L256" s="118" t="s">
        <v>272</v>
      </c>
      <c r="M256" s="119"/>
      <c r="N256" s="120" t="s">
        <v>56</v>
      </c>
      <c r="O256" s="120"/>
      <c r="P256" s="120"/>
    </row>
    <row r="257" spans="1:16" s="58" customFormat="1" ht="36">
      <c r="A257"/>
      <c r="B257" s="116">
        <v>2026</v>
      </c>
      <c r="C257" s="116">
        <v>21</v>
      </c>
      <c r="D257" s="169">
        <v>43</v>
      </c>
      <c r="E257" s="116">
        <v>1</v>
      </c>
      <c r="F257" s="116">
        <v>1</v>
      </c>
      <c r="G257" s="116">
        <v>2</v>
      </c>
      <c r="H257" s="116">
        <v>5000</v>
      </c>
      <c r="I257" s="116">
        <v>5400</v>
      </c>
      <c r="J257" s="116">
        <v>541</v>
      </c>
      <c r="K257" s="117">
        <v>1488</v>
      </c>
      <c r="L257" s="118" t="s">
        <v>273</v>
      </c>
      <c r="M257" s="119"/>
      <c r="N257" s="120" t="s">
        <v>56</v>
      </c>
      <c r="O257" s="120"/>
      <c r="P257" s="120"/>
    </row>
    <row r="258" spans="1:16" s="58" customFormat="1" ht="36">
      <c r="A258"/>
      <c r="B258" s="116">
        <v>2026</v>
      </c>
      <c r="C258" s="116">
        <v>21</v>
      </c>
      <c r="D258" s="169">
        <v>43</v>
      </c>
      <c r="E258" s="116">
        <v>1</v>
      </c>
      <c r="F258" s="116">
        <v>1</v>
      </c>
      <c r="G258" s="116">
        <v>2</v>
      </c>
      <c r="H258" s="116">
        <v>5000</v>
      </c>
      <c r="I258" s="116">
        <v>5400</v>
      </c>
      <c r="J258" s="116">
        <v>541</v>
      </c>
      <c r="K258" s="117">
        <v>1487</v>
      </c>
      <c r="L258" s="118" t="s">
        <v>274</v>
      </c>
      <c r="M258" s="119"/>
      <c r="N258" s="120" t="s">
        <v>56</v>
      </c>
      <c r="O258" s="120"/>
      <c r="P258" s="120"/>
    </row>
    <row r="259" spans="1:16" s="58" customFormat="1" ht="18">
      <c r="A259"/>
      <c r="B259" s="103">
        <v>2026</v>
      </c>
      <c r="C259" s="103">
        <v>21</v>
      </c>
      <c r="D259" s="167">
        <v>43</v>
      </c>
      <c r="E259" s="103">
        <v>1</v>
      </c>
      <c r="F259" s="103">
        <v>1</v>
      </c>
      <c r="G259" s="103">
        <v>2</v>
      </c>
      <c r="H259" s="103">
        <v>5000</v>
      </c>
      <c r="I259" s="103">
        <v>5500</v>
      </c>
      <c r="J259" s="104"/>
      <c r="K259" s="132"/>
      <c r="L259" s="105" t="s">
        <v>275</v>
      </c>
      <c r="M259" s="106">
        <f>+M260</f>
        <v>0</v>
      </c>
      <c r="N259" s="104"/>
      <c r="O259" s="134"/>
      <c r="P259" s="109"/>
    </row>
    <row r="260" spans="1:16" s="58" customFormat="1" ht="18">
      <c r="A260"/>
      <c r="B260" s="110">
        <v>2026</v>
      </c>
      <c r="C260" s="110">
        <v>21</v>
      </c>
      <c r="D260" s="168">
        <v>43</v>
      </c>
      <c r="E260" s="110">
        <v>1</v>
      </c>
      <c r="F260" s="110">
        <v>1</v>
      </c>
      <c r="G260" s="110">
        <v>2</v>
      </c>
      <c r="H260" s="110">
        <v>5000</v>
      </c>
      <c r="I260" s="110">
        <v>5500</v>
      </c>
      <c r="J260" s="110">
        <v>551</v>
      </c>
      <c r="K260" s="110"/>
      <c r="L260" s="123" t="s">
        <v>276</v>
      </c>
      <c r="M260" s="112">
        <f>SUBTOTAL(9,M261:M276)</f>
        <v>0</v>
      </c>
      <c r="N260" s="113"/>
      <c r="O260" s="113"/>
      <c r="P260" s="113"/>
    </row>
    <row r="261" spans="1:16" s="58" customFormat="1" ht="18">
      <c r="A261"/>
      <c r="B261" s="116">
        <v>2026</v>
      </c>
      <c r="C261" s="116">
        <v>21</v>
      </c>
      <c r="D261" s="169">
        <v>43</v>
      </c>
      <c r="E261" s="116">
        <v>1</v>
      </c>
      <c r="F261" s="116">
        <v>1</v>
      </c>
      <c r="G261" s="116">
        <v>2</v>
      </c>
      <c r="H261" s="116">
        <v>5000</v>
      </c>
      <c r="I261" s="116">
        <v>5500</v>
      </c>
      <c r="J261" s="116">
        <v>551</v>
      </c>
      <c r="K261" s="117">
        <v>59</v>
      </c>
      <c r="L261" s="118" t="s">
        <v>277</v>
      </c>
      <c r="M261" s="119"/>
      <c r="N261" s="120" t="s">
        <v>56</v>
      </c>
      <c r="O261" s="120"/>
      <c r="P261" s="120"/>
    </row>
    <row r="262" spans="1:16" s="58" customFormat="1" ht="18">
      <c r="A262"/>
      <c r="B262" s="116">
        <v>2026</v>
      </c>
      <c r="C262" s="116">
        <v>21</v>
      </c>
      <c r="D262" s="169">
        <v>43</v>
      </c>
      <c r="E262" s="116">
        <v>1</v>
      </c>
      <c r="F262" s="116">
        <v>1</v>
      </c>
      <c r="G262" s="116">
        <v>2</v>
      </c>
      <c r="H262" s="116">
        <v>5000</v>
      </c>
      <c r="I262" s="116">
        <v>5500</v>
      </c>
      <c r="J262" s="116">
        <v>551</v>
      </c>
      <c r="K262" s="117">
        <v>62</v>
      </c>
      <c r="L262" s="118" t="s">
        <v>278</v>
      </c>
      <c r="M262" s="119"/>
      <c r="N262" s="120" t="s">
        <v>56</v>
      </c>
      <c r="O262" s="120"/>
      <c r="P262" s="120"/>
    </row>
    <row r="263" spans="1:16" s="58" customFormat="1" ht="18">
      <c r="A263"/>
      <c r="B263" s="116">
        <v>2026</v>
      </c>
      <c r="C263" s="116">
        <v>21</v>
      </c>
      <c r="D263" s="169">
        <v>43</v>
      </c>
      <c r="E263" s="116">
        <v>1</v>
      </c>
      <c r="F263" s="116">
        <v>1</v>
      </c>
      <c r="G263" s="116">
        <v>2</v>
      </c>
      <c r="H263" s="116">
        <v>5000</v>
      </c>
      <c r="I263" s="116">
        <v>5500</v>
      </c>
      <c r="J263" s="116">
        <v>551</v>
      </c>
      <c r="K263" s="117">
        <v>66</v>
      </c>
      <c r="L263" s="118" t="s">
        <v>279</v>
      </c>
      <c r="M263" s="119"/>
      <c r="N263" s="120" t="s">
        <v>56</v>
      </c>
      <c r="O263" s="120"/>
      <c r="P263" s="120"/>
    </row>
    <row r="264" spans="1:16" s="58" customFormat="1" ht="18">
      <c r="A264"/>
      <c r="B264" s="116">
        <v>2026</v>
      </c>
      <c r="C264" s="116">
        <v>21</v>
      </c>
      <c r="D264" s="169">
        <v>43</v>
      </c>
      <c r="E264" s="116">
        <v>1</v>
      </c>
      <c r="F264" s="116">
        <v>1</v>
      </c>
      <c r="G264" s="116">
        <v>2</v>
      </c>
      <c r="H264" s="116">
        <v>5000</v>
      </c>
      <c r="I264" s="116">
        <v>5500</v>
      </c>
      <c r="J264" s="116">
        <v>551</v>
      </c>
      <c r="K264" s="117">
        <v>146</v>
      </c>
      <c r="L264" s="118" t="s">
        <v>280</v>
      </c>
      <c r="M264" s="119"/>
      <c r="N264" s="120" t="s">
        <v>56</v>
      </c>
      <c r="O264" s="120"/>
      <c r="P264" s="120"/>
    </row>
    <row r="265" spans="1:16" s="58" customFormat="1" ht="18">
      <c r="A265"/>
      <c r="B265" s="116">
        <v>2026</v>
      </c>
      <c r="C265" s="116">
        <v>21</v>
      </c>
      <c r="D265" s="169">
        <v>43</v>
      </c>
      <c r="E265" s="116">
        <v>1</v>
      </c>
      <c r="F265" s="116">
        <v>1</v>
      </c>
      <c r="G265" s="116">
        <v>2</v>
      </c>
      <c r="H265" s="116">
        <v>5000</v>
      </c>
      <c r="I265" s="116">
        <v>5500</v>
      </c>
      <c r="J265" s="116">
        <v>551</v>
      </c>
      <c r="K265" s="117">
        <v>341</v>
      </c>
      <c r="L265" s="118" t="s">
        <v>281</v>
      </c>
      <c r="M265" s="119"/>
      <c r="N265" s="120" t="s">
        <v>56</v>
      </c>
      <c r="O265" s="120"/>
      <c r="P265" s="120"/>
    </row>
    <row r="266" spans="1:16" s="58" customFormat="1" ht="18">
      <c r="A266"/>
      <c r="B266" s="116">
        <v>2026</v>
      </c>
      <c r="C266" s="116">
        <v>21</v>
      </c>
      <c r="D266" s="169">
        <v>43</v>
      </c>
      <c r="E266" s="116">
        <v>1</v>
      </c>
      <c r="F266" s="116">
        <v>1</v>
      </c>
      <c r="G266" s="116">
        <v>2</v>
      </c>
      <c r="H266" s="116">
        <v>5000</v>
      </c>
      <c r="I266" s="116">
        <v>5500</v>
      </c>
      <c r="J266" s="116">
        <v>551</v>
      </c>
      <c r="K266" s="117">
        <v>762</v>
      </c>
      <c r="L266" s="118" t="s">
        <v>282</v>
      </c>
      <c r="M266" s="119"/>
      <c r="N266" s="120" t="s">
        <v>56</v>
      </c>
      <c r="O266" s="120"/>
      <c r="P266" s="120"/>
    </row>
    <row r="267" spans="1:16" s="58" customFormat="1" ht="18">
      <c r="A267"/>
      <c r="B267" s="116">
        <v>2026</v>
      </c>
      <c r="C267" s="116">
        <v>21</v>
      </c>
      <c r="D267" s="169">
        <v>43</v>
      </c>
      <c r="E267" s="116">
        <v>1</v>
      </c>
      <c r="F267" s="116">
        <v>1</v>
      </c>
      <c r="G267" s="116">
        <v>2</v>
      </c>
      <c r="H267" s="116">
        <v>5000</v>
      </c>
      <c r="I267" s="116">
        <v>5500</v>
      </c>
      <c r="J267" s="116">
        <v>551</v>
      </c>
      <c r="K267" s="117">
        <v>765</v>
      </c>
      <c r="L267" s="118" t="s">
        <v>283</v>
      </c>
      <c r="M267" s="119"/>
      <c r="N267" s="120" t="s">
        <v>56</v>
      </c>
      <c r="O267" s="120"/>
      <c r="P267" s="120"/>
    </row>
    <row r="268" spans="1:16" s="58" customFormat="1" ht="18">
      <c r="A268"/>
      <c r="B268" s="116">
        <v>2026</v>
      </c>
      <c r="C268" s="116">
        <v>21</v>
      </c>
      <c r="D268" s="169">
        <v>43</v>
      </c>
      <c r="E268" s="116">
        <v>1</v>
      </c>
      <c r="F268" s="116">
        <v>1</v>
      </c>
      <c r="G268" s="116">
        <v>2</v>
      </c>
      <c r="H268" s="116">
        <v>5000</v>
      </c>
      <c r="I268" s="116">
        <v>5500</v>
      </c>
      <c r="J268" s="116">
        <v>551</v>
      </c>
      <c r="K268" s="117">
        <v>965</v>
      </c>
      <c r="L268" s="118" t="s">
        <v>284</v>
      </c>
      <c r="M268" s="119"/>
      <c r="N268" s="120" t="s">
        <v>56</v>
      </c>
      <c r="O268" s="120"/>
      <c r="P268" s="120"/>
    </row>
    <row r="269" spans="1:16" s="58" customFormat="1" ht="18">
      <c r="A269"/>
      <c r="B269" s="116">
        <v>2026</v>
      </c>
      <c r="C269" s="116">
        <v>21</v>
      </c>
      <c r="D269" s="169">
        <v>43</v>
      </c>
      <c r="E269" s="116">
        <v>1</v>
      </c>
      <c r="F269" s="116">
        <v>1</v>
      </c>
      <c r="G269" s="116">
        <v>2</v>
      </c>
      <c r="H269" s="116">
        <v>5000</v>
      </c>
      <c r="I269" s="116">
        <v>5500</v>
      </c>
      <c r="J269" s="116">
        <v>551</v>
      </c>
      <c r="K269" s="117">
        <v>1171</v>
      </c>
      <c r="L269" s="118" t="s">
        <v>285</v>
      </c>
      <c r="M269" s="119"/>
      <c r="N269" s="120" t="s">
        <v>56</v>
      </c>
      <c r="O269" s="120"/>
      <c r="P269" s="120"/>
    </row>
    <row r="270" spans="1:16" s="58" customFormat="1" ht="18">
      <c r="A270"/>
      <c r="B270" s="116">
        <v>2026</v>
      </c>
      <c r="C270" s="116">
        <v>21</v>
      </c>
      <c r="D270" s="169">
        <v>43</v>
      </c>
      <c r="E270" s="116">
        <v>1</v>
      </c>
      <c r="F270" s="116">
        <v>1</v>
      </c>
      <c r="G270" s="116">
        <v>2</v>
      </c>
      <c r="H270" s="116">
        <v>5000</v>
      </c>
      <c r="I270" s="116">
        <v>5500</v>
      </c>
      <c r="J270" s="116">
        <v>551</v>
      </c>
      <c r="K270" s="117">
        <v>1220</v>
      </c>
      <c r="L270" s="118" t="s">
        <v>286</v>
      </c>
      <c r="M270" s="119"/>
      <c r="N270" s="120" t="s">
        <v>56</v>
      </c>
      <c r="O270" s="120"/>
      <c r="P270" s="120"/>
    </row>
    <row r="271" spans="1:16" s="58" customFormat="1" ht="18">
      <c r="A271"/>
      <c r="B271" s="116">
        <v>2026</v>
      </c>
      <c r="C271" s="116">
        <v>21</v>
      </c>
      <c r="D271" s="169">
        <v>43</v>
      </c>
      <c r="E271" s="116">
        <v>1</v>
      </c>
      <c r="F271" s="116">
        <v>1</v>
      </c>
      <c r="G271" s="116">
        <v>2</v>
      </c>
      <c r="H271" s="116">
        <v>5000</v>
      </c>
      <c r="I271" s="116">
        <v>5500</v>
      </c>
      <c r="J271" s="116">
        <v>551</v>
      </c>
      <c r="K271" s="117">
        <v>1221</v>
      </c>
      <c r="L271" s="118" t="s">
        <v>287</v>
      </c>
      <c r="M271" s="119"/>
      <c r="N271" s="120" t="s">
        <v>56</v>
      </c>
      <c r="O271" s="120"/>
      <c r="P271" s="120"/>
    </row>
    <row r="272" spans="1:16" s="58" customFormat="1" ht="18">
      <c r="A272"/>
      <c r="B272" s="116">
        <v>2026</v>
      </c>
      <c r="C272" s="116">
        <v>21</v>
      </c>
      <c r="D272" s="169">
        <v>43</v>
      </c>
      <c r="E272" s="116">
        <v>1</v>
      </c>
      <c r="F272" s="116">
        <v>1</v>
      </c>
      <c r="G272" s="116">
        <v>2</v>
      </c>
      <c r="H272" s="116">
        <v>5000</v>
      </c>
      <c r="I272" s="116">
        <v>5500</v>
      </c>
      <c r="J272" s="116">
        <v>551</v>
      </c>
      <c r="K272" s="117">
        <v>1222</v>
      </c>
      <c r="L272" s="118" t="s">
        <v>288</v>
      </c>
      <c r="M272" s="119"/>
      <c r="N272" s="120" t="s">
        <v>56</v>
      </c>
      <c r="O272" s="120"/>
      <c r="P272" s="120"/>
    </row>
    <row r="273" spans="1:16" s="58" customFormat="1" ht="18">
      <c r="A273"/>
      <c r="B273" s="116">
        <v>2026</v>
      </c>
      <c r="C273" s="116">
        <v>21</v>
      </c>
      <c r="D273" s="169">
        <v>43</v>
      </c>
      <c r="E273" s="116">
        <v>1</v>
      </c>
      <c r="F273" s="116">
        <v>1</v>
      </c>
      <c r="G273" s="116">
        <v>2</v>
      </c>
      <c r="H273" s="116">
        <v>5000</v>
      </c>
      <c r="I273" s="116">
        <v>5500</v>
      </c>
      <c r="J273" s="116">
        <v>551</v>
      </c>
      <c r="K273" s="117">
        <v>1078</v>
      </c>
      <c r="L273" s="118" t="s">
        <v>289</v>
      </c>
      <c r="M273" s="119"/>
      <c r="N273" s="120" t="s">
        <v>56</v>
      </c>
      <c r="O273" s="120"/>
      <c r="P273" s="120"/>
    </row>
    <row r="274" spans="1:16" s="58" customFormat="1" ht="18">
      <c r="A274"/>
      <c r="B274" s="116">
        <v>2026</v>
      </c>
      <c r="C274" s="116">
        <v>21</v>
      </c>
      <c r="D274" s="169">
        <v>43</v>
      </c>
      <c r="E274" s="116">
        <v>1</v>
      </c>
      <c r="F274" s="116">
        <v>1</v>
      </c>
      <c r="G274" s="116">
        <v>2</v>
      </c>
      <c r="H274" s="116">
        <v>5000</v>
      </c>
      <c r="I274" s="116">
        <v>5500</v>
      </c>
      <c r="J274" s="116">
        <v>551</v>
      </c>
      <c r="K274" s="117">
        <v>493</v>
      </c>
      <c r="L274" s="118" t="s">
        <v>290</v>
      </c>
      <c r="M274" s="119"/>
      <c r="N274" s="120" t="s">
        <v>56</v>
      </c>
      <c r="O274" s="120"/>
      <c r="P274" s="120"/>
    </row>
    <row r="275" spans="1:16" s="58" customFormat="1" ht="18">
      <c r="A275"/>
      <c r="B275" s="116">
        <v>2026</v>
      </c>
      <c r="C275" s="116">
        <v>21</v>
      </c>
      <c r="D275" s="169">
        <v>43</v>
      </c>
      <c r="E275" s="116">
        <v>1</v>
      </c>
      <c r="F275" s="116">
        <v>1</v>
      </c>
      <c r="G275" s="116">
        <v>2</v>
      </c>
      <c r="H275" s="116">
        <v>5000</v>
      </c>
      <c r="I275" s="116">
        <v>5500</v>
      </c>
      <c r="J275" s="116">
        <v>551</v>
      </c>
      <c r="K275" s="117">
        <v>686</v>
      </c>
      <c r="L275" s="118" t="s">
        <v>291</v>
      </c>
      <c r="M275" s="119"/>
      <c r="N275" s="120" t="s">
        <v>56</v>
      </c>
      <c r="O275" s="120"/>
      <c r="P275" s="120"/>
    </row>
    <row r="276" spans="1:16" s="58" customFormat="1" ht="18">
      <c r="A276"/>
      <c r="B276" s="116">
        <v>2026</v>
      </c>
      <c r="C276" s="116">
        <v>21</v>
      </c>
      <c r="D276" s="169">
        <v>43</v>
      </c>
      <c r="E276" s="116">
        <v>1</v>
      </c>
      <c r="F276" s="116">
        <v>1</v>
      </c>
      <c r="G276" s="116">
        <v>2</v>
      </c>
      <c r="H276" s="116">
        <v>5000</v>
      </c>
      <c r="I276" s="116">
        <v>5500</v>
      </c>
      <c r="J276" s="116">
        <v>551</v>
      </c>
      <c r="K276" s="117">
        <v>1079</v>
      </c>
      <c r="L276" s="118" t="s">
        <v>292</v>
      </c>
      <c r="M276" s="119"/>
      <c r="N276" s="120" t="s">
        <v>56</v>
      </c>
      <c r="O276" s="120"/>
      <c r="P276" s="120"/>
    </row>
    <row r="277" spans="1:16" s="58" customFormat="1" ht="18">
      <c r="A277"/>
      <c r="B277" s="103">
        <v>2026</v>
      </c>
      <c r="C277" s="103">
        <v>21</v>
      </c>
      <c r="D277" s="167">
        <v>43</v>
      </c>
      <c r="E277" s="103">
        <v>1</v>
      </c>
      <c r="F277" s="103">
        <v>1</v>
      </c>
      <c r="G277" s="103">
        <v>2</v>
      </c>
      <c r="H277" s="103">
        <v>5000</v>
      </c>
      <c r="I277" s="103">
        <v>5600</v>
      </c>
      <c r="J277" s="104"/>
      <c r="K277" s="104"/>
      <c r="L277" s="105" t="s">
        <v>293</v>
      </c>
      <c r="M277" s="106">
        <f>+M278</f>
        <v>0</v>
      </c>
      <c r="N277" s="104"/>
      <c r="O277" s="104"/>
      <c r="P277" s="104"/>
    </row>
    <row r="278" spans="1:16" s="58" customFormat="1" ht="18">
      <c r="A278"/>
      <c r="B278" s="110">
        <v>2026</v>
      </c>
      <c r="C278" s="110">
        <v>21</v>
      </c>
      <c r="D278" s="168">
        <v>43</v>
      </c>
      <c r="E278" s="110">
        <v>1</v>
      </c>
      <c r="F278" s="110">
        <v>1</v>
      </c>
      <c r="G278" s="110">
        <v>2</v>
      </c>
      <c r="H278" s="110">
        <v>5000</v>
      </c>
      <c r="I278" s="110">
        <v>5600</v>
      </c>
      <c r="J278" s="110">
        <v>569</v>
      </c>
      <c r="K278" s="110"/>
      <c r="L278" s="123" t="s">
        <v>294</v>
      </c>
      <c r="M278" s="112">
        <f>SUBTOTAL(9,M279:M282)</f>
        <v>0</v>
      </c>
      <c r="N278" s="113"/>
      <c r="O278" s="113"/>
      <c r="P278" s="113"/>
    </row>
    <row r="279" spans="1:16" s="58" customFormat="1" ht="18">
      <c r="A279"/>
      <c r="B279" s="116">
        <v>2026</v>
      </c>
      <c r="C279" s="116">
        <v>21</v>
      </c>
      <c r="D279" s="169">
        <v>43</v>
      </c>
      <c r="E279" s="116">
        <v>1</v>
      </c>
      <c r="F279" s="116">
        <v>1</v>
      </c>
      <c r="G279" s="116">
        <v>2</v>
      </c>
      <c r="H279" s="116">
        <v>5000</v>
      </c>
      <c r="I279" s="116">
        <v>5600</v>
      </c>
      <c r="J279" s="116">
        <v>569</v>
      </c>
      <c r="K279" s="117">
        <v>579</v>
      </c>
      <c r="L279" s="118" t="s">
        <v>295</v>
      </c>
      <c r="M279" s="119"/>
      <c r="N279" s="120" t="s">
        <v>56</v>
      </c>
      <c r="O279" s="120"/>
      <c r="P279" s="120"/>
    </row>
    <row r="280" spans="1:16" s="58" customFormat="1" ht="18">
      <c r="A280"/>
      <c r="B280" s="116">
        <v>2026</v>
      </c>
      <c r="C280" s="116">
        <v>21</v>
      </c>
      <c r="D280" s="169">
        <v>43</v>
      </c>
      <c r="E280" s="116">
        <v>1</v>
      </c>
      <c r="F280" s="116">
        <v>1</v>
      </c>
      <c r="G280" s="116">
        <v>2</v>
      </c>
      <c r="H280" s="116">
        <v>5000</v>
      </c>
      <c r="I280" s="116">
        <v>5600</v>
      </c>
      <c r="J280" s="116">
        <v>569</v>
      </c>
      <c r="K280" s="117">
        <v>663</v>
      </c>
      <c r="L280" s="118" t="s">
        <v>296</v>
      </c>
      <c r="M280" s="119"/>
      <c r="N280" s="120" t="s">
        <v>56</v>
      </c>
      <c r="O280" s="120"/>
      <c r="P280" s="120"/>
    </row>
    <row r="281" spans="1:16" s="58" customFormat="1" ht="18">
      <c r="A281"/>
      <c r="B281" s="116">
        <v>2026</v>
      </c>
      <c r="C281" s="116">
        <v>21</v>
      </c>
      <c r="D281" s="169">
        <v>43</v>
      </c>
      <c r="E281" s="116">
        <v>1</v>
      </c>
      <c r="F281" s="116">
        <v>1</v>
      </c>
      <c r="G281" s="116">
        <v>2</v>
      </c>
      <c r="H281" s="116">
        <v>5000</v>
      </c>
      <c r="I281" s="116">
        <v>5600</v>
      </c>
      <c r="J281" s="116">
        <v>569</v>
      </c>
      <c r="K281" s="117">
        <v>1323</v>
      </c>
      <c r="L281" s="118" t="s">
        <v>297</v>
      </c>
      <c r="M281" s="119"/>
      <c r="N281" s="120" t="s">
        <v>56</v>
      </c>
      <c r="O281" s="120"/>
      <c r="P281" s="120"/>
    </row>
    <row r="282" spans="1:16" s="58" customFormat="1" ht="18">
      <c r="A282"/>
      <c r="B282" s="116">
        <v>2026</v>
      </c>
      <c r="C282" s="116">
        <v>21</v>
      </c>
      <c r="D282" s="169">
        <v>43</v>
      </c>
      <c r="E282" s="116">
        <v>1</v>
      </c>
      <c r="F282" s="116">
        <v>1</v>
      </c>
      <c r="G282" s="116">
        <v>2</v>
      </c>
      <c r="H282" s="116">
        <v>5000</v>
      </c>
      <c r="I282" s="116">
        <v>5600</v>
      </c>
      <c r="J282" s="116">
        <v>569</v>
      </c>
      <c r="K282" s="117">
        <v>1423</v>
      </c>
      <c r="L282" s="118" t="s">
        <v>298</v>
      </c>
      <c r="M282" s="119"/>
      <c r="N282" s="120" t="s">
        <v>56</v>
      </c>
      <c r="O282" s="120"/>
      <c r="P282" s="120"/>
    </row>
    <row r="283" spans="1:16" s="58" customFormat="1" ht="18">
      <c r="A283"/>
      <c r="B283" s="103">
        <v>2026</v>
      </c>
      <c r="C283" s="103">
        <v>21</v>
      </c>
      <c r="D283" s="167">
        <v>43</v>
      </c>
      <c r="E283" s="103">
        <v>1</v>
      </c>
      <c r="F283" s="103">
        <v>1</v>
      </c>
      <c r="G283" s="103">
        <v>2</v>
      </c>
      <c r="H283" s="103">
        <v>5000</v>
      </c>
      <c r="I283" s="103">
        <v>5900</v>
      </c>
      <c r="J283" s="103"/>
      <c r="K283" s="103"/>
      <c r="L283" s="105" t="s">
        <v>299</v>
      </c>
      <c r="M283" s="106">
        <f>+M284+M286</f>
        <v>0</v>
      </c>
      <c r="N283" s="107"/>
      <c r="O283" s="107"/>
      <c r="P283" s="107"/>
    </row>
    <row r="284" spans="1:16" s="58" customFormat="1" ht="18">
      <c r="A284"/>
      <c r="B284" s="110">
        <v>2026</v>
      </c>
      <c r="C284" s="110">
        <v>21</v>
      </c>
      <c r="D284" s="168">
        <v>43</v>
      </c>
      <c r="E284" s="110">
        <v>1</v>
      </c>
      <c r="F284" s="110">
        <v>1</v>
      </c>
      <c r="G284" s="110">
        <v>2</v>
      </c>
      <c r="H284" s="110">
        <v>5000</v>
      </c>
      <c r="I284" s="110">
        <v>5900</v>
      </c>
      <c r="J284" s="110">
        <v>591</v>
      </c>
      <c r="K284" s="110"/>
      <c r="L284" s="123" t="s">
        <v>300</v>
      </c>
      <c r="M284" s="112">
        <f>SUBTOTAL(9,M285)</f>
        <v>0</v>
      </c>
      <c r="N284" s="113"/>
      <c r="O284" s="113"/>
      <c r="P284" s="113"/>
    </row>
    <row r="285" spans="1:16" s="58" customFormat="1" ht="36">
      <c r="A285"/>
      <c r="B285" s="116">
        <v>2026</v>
      </c>
      <c r="C285" s="116">
        <v>21</v>
      </c>
      <c r="D285" s="169">
        <v>43</v>
      </c>
      <c r="E285" s="116">
        <v>1</v>
      </c>
      <c r="F285" s="116">
        <v>1</v>
      </c>
      <c r="G285" s="116">
        <v>2</v>
      </c>
      <c r="H285" s="116">
        <v>5000</v>
      </c>
      <c r="I285" s="116">
        <v>5900</v>
      </c>
      <c r="J285" s="116">
        <v>591</v>
      </c>
      <c r="K285" s="117">
        <v>1368</v>
      </c>
      <c r="L285" s="118" t="s">
        <v>301</v>
      </c>
      <c r="M285" s="119"/>
      <c r="N285" s="120" t="s">
        <v>302</v>
      </c>
      <c r="O285" s="120"/>
      <c r="P285" s="120"/>
    </row>
    <row r="286" spans="1:16" s="58" customFormat="1" ht="18">
      <c r="A286"/>
      <c r="B286" s="110">
        <v>2026</v>
      </c>
      <c r="C286" s="110">
        <v>21</v>
      </c>
      <c r="D286" s="168">
        <v>0</v>
      </c>
      <c r="E286" s="110">
        <v>1</v>
      </c>
      <c r="F286" s="110">
        <v>1</v>
      </c>
      <c r="G286" s="110">
        <v>2</v>
      </c>
      <c r="H286" s="110">
        <v>5000</v>
      </c>
      <c r="I286" s="110">
        <v>5900</v>
      </c>
      <c r="J286" s="110">
        <v>597</v>
      </c>
      <c r="K286" s="110"/>
      <c r="L286" s="123" t="s">
        <v>303</v>
      </c>
      <c r="M286" s="112">
        <f>SUBTOTAL(9,M287)</f>
        <v>0</v>
      </c>
      <c r="N286" s="113"/>
      <c r="O286" s="113"/>
      <c r="P286" s="113"/>
    </row>
    <row r="287" spans="1:16" s="58" customFormat="1" ht="36">
      <c r="A287"/>
      <c r="B287" s="116">
        <v>2026</v>
      </c>
      <c r="C287" s="116">
        <v>21</v>
      </c>
      <c r="D287" s="169">
        <v>43</v>
      </c>
      <c r="E287" s="116">
        <v>1</v>
      </c>
      <c r="F287" s="116">
        <v>1</v>
      </c>
      <c r="G287" s="116">
        <v>2</v>
      </c>
      <c r="H287" s="116">
        <v>5000</v>
      </c>
      <c r="I287" s="116">
        <v>5900</v>
      </c>
      <c r="J287" s="116">
        <v>597</v>
      </c>
      <c r="K287" s="117">
        <v>852</v>
      </c>
      <c r="L287" s="118" t="s">
        <v>304</v>
      </c>
      <c r="M287" s="119"/>
      <c r="N287" s="120" t="s">
        <v>302</v>
      </c>
      <c r="O287" s="120"/>
      <c r="P287" s="120"/>
    </row>
    <row r="288" spans="1:16" s="58" customFormat="1" ht="36">
      <c r="A288"/>
      <c r="B288" s="88">
        <v>2026</v>
      </c>
      <c r="C288" s="88">
        <v>21</v>
      </c>
      <c r="D288" s="165">
        <v>43</v>
      </c>
      <c r="E288" s="88">
        <v>1</v>
      </c>
      <c r="F288" s="88">
        <v>1</v>
      </c>
      <c r="G288" s="88">
        <v>3</v>
      </c>
      <c r="H288" s="88"/>
      <c r="I288" s="88"/>
      <c r="J288" s="89"/>
      <c r="K288" s="90"/>
      <c r="L288" s="91" t="s">
        <v>305</v>
      </c>
      <c r="M288" s="92">
        <f>+M289</f>
        <v>0</v>
      </c>
      <c r="N288" s="93"/>
      <c r="O288" s="135"/>
      <c r="P288" s="135"/>
    </row>
    <row r="289" spans="1:16" s="58" customFormat="1" ht="18">
      <c r="A289"/>
      <c r="B289" s="96">
        <v>2026</v>
      </c>
      <c r="C289" s="96">
        <v>21</v>
      </c>
      <c r="D289" s="166">
        <v>43</v>
      </c>
      <c r="E289" s="96">
        <v>1</v>
      </c>
      <c r="F289" s="96">
        <v>1</v>
      </c>
      <c r="G289" s="96">
        <v>3</v>
      </c>
      <c r="H289" s="96">
        <v>6000</v>
      </c>
      <c r="I289" s="96"/>
      <c r="J289" s="96"/>
      <c r="K289" s="97"/>
      <c r="L289" s="98" t="s">
        <v>306</v>
      </c>
      <c r="M289" s="99">
        <f>+M290</f>
        <v>0</v>
      </c>
      <c r="N289" s="100"/>
      <c r="O289" s="129"/>
      <c r="P289" s="130"/>
    </row>
    <row r="290" spans="1:16" s="58" customFormat="1" ht="18">
      <c r="A290"/>
      <c r="B290" s="103">
        <v>2026</v>
      </c>
      <c r="C290" s="103">
        <v>21</v>
      </c>
      <c r="D290" s="167">
        <v>43</v>
      </c>
      <c r="E290" s="103">
        <v>1</v>
      </c>
      <c r="F290" s="103">
        <v>1</v>
      </c>
      <c r="G290" s="103">
        <v>3</v>
      </c>
      <c r="H290" s="103">
        <v>6000</v>
      </c>
      <c r="I290" s="103">
        <v>6200</v>
      </c>
      <c r="J290" s="103"/>
      <c r="K290" s="104"/>
      <c r="L290" s="105" t="s">
        <v>307</v>
      </c>
      <c r="M290" s="106">
        <f>+M291</f>
        <v>0</v>
      </c>
      <c r="N290" s="107"/>
      <c r="O290" s="108"/>
      <c r="P290" s="109"/>
    </row>
    <row r="291" spans="1:16" s="58" customFormat="1" ht="18">
      <c r="A291"/>
      <c r="B291" s="110">
        <v>2026</v>
      </c>
      <c r="C291" s="110">
        <v>21</v>
      </c>
      <c r="D291" s="168">
        <v>43</v>
      </c>
      <c r="E291" s="110">
        <v>1</v>
      </c>
      <c r="F291" s="110">
        <v>1</v>
      </c>
      <c r="G291" s="110">
        <v>3</v>
      </c>
      <c r="H291" s="110">
        <v>6000</v>
      </c>
      <c r="I291" s="110">
        <v>6200</v>
      </c>
      <c r="J291" s="110">
        <v>622</v>
      </c>
      <c r="K291" s="111"/>
      <c r="L291" s="123" t="s">
        <v>308</v>
      </c>
      <c r="M291" s="112">
        <f>SUBTOTAL(9,M292:M293)</f>
        <v>0</v>
      </c>
      <c r="N291" s="113"/>
      <c r="O291" s="114"/>
      <c r="P291" s="115"/>
    </row>
    <row r="292" spans="1:16" s="58" customFormat="1" ht="108">
      <c r="A292"/>
      <c r="B292" s="116">
        <v>2026</v>
      </c>
      <c r="C292" s="116">
        <v>21</v>
      </c>
      <c r="D292" s="169">
        <v>43</v>
      </c>
      <c r="E292" s="116">
        <v>1</v>
      </c>
      <c r="F292" s="116">
        <v>1</v>
      </c>
      <c r="G292" s="116">
        <v>3</v>
      </c>
      <c r="H292" s="116">
        <v>6000</v>
      </c>
      <c r="I292" s="116">
        <v>6200</v>
      </c>
      <c r="J292" s="116">
        <v>62201</v>
      </c>
      <c r="K292" s="117">
        <v>382</v>
      </c>
      <c r="L292" s="118" t="s">
        <v>309</v>
      </c>
      <c r="M292" s="119"/>
      <c r="N292" s="120" t="s">
        <v>310</v>
      </c>
      <c r="O292" s="121"/>
      <c r="P292" s="121"/>
    </row>
    <row r="293" spans="1:16" s="58" customFormat="1" ht="108">
      <c r="A293"/>
      <c r="B293" s="116">
        <v>2026</v>
      </c>
      <c r="C293" s="116">
        <v>21</v>
      </c>
      <c r="D293" s="169">
        <v>43</v>
      </c>
      <c r="E293" s="116">
        <v>1</v>
      </c>
      <c r="F293" s="116">
        <v>1</v>
      </c>
      <c r="G293" s="116">
        <v>3</v>
      </c>
      <c r="H293" s="116">
        <v>6000</v>
      </c>
      <c r="I293" s="116">
        <v>6200</v>
      </c>
      <c r="J293" s="116">
        <v>62202</v>
      </c>
      <c r="K293" s="117">
        <v>924</v>
      </c>
      <c r="L293" s="118" t="s">
        <v>311</v>
      </c>
      <c r="M293" s="119"/>
      <c r="N293" s="120" t="s">
        <v>310</v>
      </c>
      <c r="O293" s="121"/>
      <c r="P293" s="121"/>
    </row>
    <row r="294" spans="1:16" s="58" customFormat="1" ht="18">
      <c r="A294"/>
      <c r="B294" s="81">
        <v>2026</v>
      </c>
      <c r="C294" s="81">
        <v>21</v>
      </c>
      <c r="D294" s="82">
        <v>43</v>
      </c>
      <c r="E294" s="81">
        <v>1</v>
      </c>
      <c r="F294" s="81">
        <v>2</v>
      </c>
      <c r="G294" s="81"/>
      <c r="H294" s="81"/>
      <c r="I294" s="81"/>
      <c r="J294" s="81"/>
      <c r="K294" s="82"/>
      <c r="L294" s="83" t="s">
        <v>312</v>
      </c>
      <c r="M294" s="84">
        <f>+M295+M300+M305+M316</f>
        <v>0</v>
      </c>
      <c r="N294" s="85"/>
      <c r="O294" s="86"/>
      <c r="P294" s="87"/>
    </row>
    <row r="295" spans="1:16" s="58" customFormat="1" ht="18">
      <c r="A295"/>
      <c r="B295" s="88">
        <v>2026</v>
      </c>
      <c r="C295" s="88">
        <v>21</v>
      </c>
      <c r="D295" s="165">
        <v>43</v>
      </c>
      <c r="E295" s="88">
        <v>1</v>
      </c>
      <c r="F295" s="88">
        <v>2</v>
      </c>
      <c r="G295" s="88">
        <v>6</v>
      </c>
      <c r="H295" s="88"/>
      <c r="I295" s="88"/>
      <c r="J295" s="88"/>
      <c r="K295" s="136"/>
      <c r="L295" s="91" t="s">
        <v>313</v>
      </c>
      <c r="M295" s="92">
        <f>+M296</f>
        <v>0</v>
      </c>
      <c r="N295" s="93"/>
      <c r="O295" s="94"/>
      <c r="P295" s="95"/>
    </row>
    <row r="296" spans="1:16" s="58" customFormat="1" ht="18">
      <c r="A296"/>
      <c r="B296" s="96">
        <v>2026</v>
      </c>
      <c r="C296" s="96">
        <v>21</v>
      </c>
      <c r="D296" s="166">
        <v>43</v>
      </c>
      <c r="E296" s="96">
        <v>1</v>
      </c>
      <c r="F296" s="96">
        <v>2</v>
      </c>
      <c r="G296" s="96">
        <v>6</v>
      </c>
      <c r="H296" s="96">
        <v>4000</v>
      </c>
      <c r="I296" s="96"/>
      <c r="J296" s="96"/>
      <c r="K296" s="97"/>
      <c r="L296" s="98" t="s">
        <v>314</v>
      </c>
      <c r="M296" s="99">
        <f>+M297</f>
        <v>0</v>
      </c>
      <c r="N296" s="100"/>
      <c r="O296" s="101"/>
      <c r="P296" s="102"/>
    </row>
    <row r="297" spans="1:16" s="58" customFormat="1" ht="18">
      <c r="A297"/>
      <c r="B297" s="103">
        <v>2026</v>
      </c>
      <c r="C297" s="103">
        <v>21</v>
      </c>
      <c r="D297" s="167">
        <v>43</v>
      </c>
      <c r="E297" s="103">
        <v>1</v>
      </c>
      <c r="F297" s="103">
        <v>2</v>
      </c>
      <c r="G297" s="103">
        <v>6</v>
      </c>
      <c r="H297" s="103">
        <v>4000</v>
      </c>
      <c r="I297" s="103">
        <v>4400</v>
      </c>
      <c r="J297" s="103"/>
      <c r="K297" s="104"/>
      <c r="L297" s="105" t="s">
        <v>315</v>
      </c>
      <c r="M297" s="106">
        <f>+M298</f>
        <v>0</v>
      </c>
      <c r="N297" s="107"/>
      <c r="O297" s="108"/>
      <c r="P297" s="109"/>
    </row>
    <row r="298" spans="1:16" s="58" customFormat="1" ht="18">
      <c r="A298"/>
      <c r="B298" s="110">
        <v>2026</v>
      </c>
      <c r="C298" s="110">
        <v>21</v>
      </c>
      <c r="D298" s="168">
        <v>43</v>
      </c>
      <c r="E298" s="110">
        <v>1</v>
      </c>
      <c r="F298" s="110">
        <v>2</v>
      </c>
      <c r="G298" s="110">
        <v>6</v>
      </c>
      <c r="H298" s="110">
        <v>4000</v>
      </c>
      <c r="I298" s="110">
        <v>4400</v>
      </c>
      <c r="J298" s="110">
        <v>442</v>
      </c>
      <c r="K298" s="111"/>
      <c r="L298" s="123" t="s">
        <v>316</v>
      </c>
      <c r="M298" s="112">
        <f>+M299</f>
        <v>0</v>
      </c>
      <c r="N298" s="113"/>
      <c r="O298" s="114"/>
      <c r="P298" s="115"/>
    </row>
    <row r="299" spans="1:16" s="58" customFormat="1" ht="18">
      <c r="A299"/>
      <c r="B299" s="116">
        <v>2026</v>
      </c>
      <c r="C299" s="116">
        <v>21</v>
      </c>
      <c r="D299" s="169">
        <v>43</v>
      </c>
      <c r="E299" s="116">
        <v>1</v>
      </c>
      <c r="F299" s="116">
        <v>2</v>
      </c>
      <c r="G299" s="116">
        <v>6</v>
      </c>
      <c r="H299" s="116">
        <v>4000</v>
      </c>
      <c r="I299" s="116">
        <v>4400</v>
      </c>
      <c r="J299" s="116">
        <v>442</v>
      </c>
      <c r="K299" s="117">
        <v>137</v>
      </c>
      <c r="L299" s="118" t="s">
        <v>317</v>
      </c>
      <c r="M299" s="119"/>
      <c r="N299" s="120" t="s">
        <v>318</v>
      </c>
      <c r="O299" s="121"/>
      <c r="P299" s="121"/>
    </row>
    <row r="300" spans="1:16" s="58" customFormat="1" ht="36">
      <c r="A300"/>
      <c r="B300" s="88">
        <v>2026</v>
      </c>
      <c r="C300" s="88">
        <v>21</v>
      </c>
      <c r="D300" s="165">
        <v>43</v>
      </c>
      <c r="E300" s="88">
        <v>1</v>
      </c>
      <c r="F300" s="88">
        <v>2</v>
      </c>
      <c r="G300" s="88">
        <v>8</v>
      </c>
      <c r="H300" s="88"/>
      <c r="I300" s="88"/>
      <c r="J300" s="89"/>
      <c r="K300" s="90"/>
      <c r="L300" s="91" t="s">
        <v>319</v>
      </c>
      <c r="M300" s="92">
        <f>+M301</f>
        <v>0</v>
      </c>
      <c r="N300" s="93"/>
      <c r="O300" s="94"/>
      <c r="P300" s="95"/>
    </row>
    <row r="301" spans="1:16" ht="18">
      <c r="B301" s="96">
        <v>2026</v>
      </c>
      <c r="C301" s="96">
        <v>21</v>
      </c>
      <c r="D301" s="166">
        <v>43</v>
      </c>
      <c r="E301" s="96">
        <v>1</v>
      </c>
      <c r="F301" s="96">
        <v>2</v>
      </c>
      <c r="G301" s="96">
        <v>8</v>
      </c>
      <c r="H301" s="96">
        <v>3000</v>
      </c>
      <c r="I301" s="96"/>
      <c r="J301" s="96"/>
      <c r="K301" s="97"/>
      <c r="L301" s="98" t="s">
        <v>24</v>
      </c>
      <c r="M301" s="99">
        <f>+M302</f>
        <v>0</v>
      </c>
      <c r="N301" s="100"/>
      <c r="O301" s="101"/>
      <c r="P301" s="102"/>
    </row>
    <row r="302" spans="1:16" ht="18">
      <c r="B302" s="103">
        <v>2026</v>
      </c>
      <c r="C302" s="103">
        <v>21</v>
      </c>
      <c r="D302" s="167">
        <v>43</v>
      </c>
      <c r="E302" s="103">
        <v>1</v>
      </c>
      <c r="F302" s="103">
        <v>2</v>
      </c>
      <c r="G302" s="103">
        <v>8</v>
      </c>
      <c r="H302" s="103">
        <v>3000</v>
      </c>
      <c r="I302" s="103">
        <v>3300</v>
      </c>
      <c r="J302" s="103"/>
      <c r="K302" s="104"/>
      <c r="L302" s="137" t="s">
        <v>25</v>
      </c>
      <c r="M302" s="106">
        <f>+M303</f>
        <v>0</v>
      </c>
      <c r="N302" s="107"/>
      <c r="O302" s="108"/>
      <c r="P302" s="109"/>
    </row>
    <row r="303" spans="1:16" ht="18">
      <c r="B303" s="110">
        <v>2026</v>
      </c>
      <c r="C303" s="110">
        <v>21</v>
      </c>
      <c r="D303" s="168">
        <v>43</v>
      </c>
      <c r="E303" s="110">
        <v>1</v>
      </c>
      <c r="F303" s="110">
        <v>2</v>
      </c>
      <c r="G303" s="110">
        <v>8</v>
      </c>
      <c r="H303" s="110">
        <v>3000</v>
      </c>
      <c r="I303" s="110">
        <v>3300</v>
      </c>
      <c r="J303" s="110">
        <v>339</v>
      </c>
      <c r="K303" s="111"/>
      <c r="L303" s="123" t="s">
        <v>34</v>
      </c>
      <c r="M303" s="112">
        <f>+M304</f>
        <v>0</v>
      </c>
      <c r="N303" s="113"/>
      <c r="O303" s="114"/>
      <c r="P303" s="115"/>
    </row>
    <row r="304" spans="1:16" ht="18">
      <c r="B304" s="116">
        <v>2026</v>
      </c>
      <c r="C304" s="116">
        <v>21</v>
      </c>
      <c r="D304" s="169">
        <v>43</v>
      </c>
      <c r="E304" s="116">
        <v>1</v>
      </c>
      <c r="F304" s="116">
        <v>2</v>
      </c>
      <c r="G304" s="116">
        <v>8</v>
      </c>
      <c r="H304" s="116">
        <v>3000</v>
      </c>
      <c r="I304" s="116">
        <v>3300</v>
      </c>
      <c r="J304" s="116">
        <v>339</v>
      </c>
      <c r="K304" s="117">
        <v>47</v>
      </c>
      <c r="L304" s="118" t="s">
        <v>320</v>
      </c>
      <c r="M304" s="119"/>
      <c r="N304" s="120" t="s">
        <v>28</v>
      </c>
      <c r="O304" s="121"/>
      <c r="P304" s="121"/>
    </row>
    <row r="305" spans="1:16" ht="36">
      <c r="B305" s="88">
        <v>2026</v>
      </c>
      <c r="C305" s="88">
        <v>21</v>
      </c>
      <c r="D305" s="165">
        <v>43</v>
      </c>
      <c r="E305" s="88">
        <v>1</v>
      </c>
      <c r="F305" s="88">
        <v>2</v>
      </c>
      <c r="G305" s="88">
        <v>10</v>
      </c>
      <c r="H305" s="88"/>
      <c r="I305" s="88"/>
      <c r="J305" s="88"/>
      <c r="K305" s="136"/>
      <c r="L305" s="91" t="s">
        <v>321</v>
      </c>
      <c r="M305" s="92">
        <f>+M306</f>
        <v>0</v>
      </c>
      <c r="N305" s="93"/>
      <c r="O305" s="94"/>
      <c r="P305" s="95"/>
    </row>
    <row r="306" spans="1:16" ht="18">
      <c r="B306" s="96">
        <v>2026</v>
      </c>
      <c r="C306" s="96">
        <v>21</v>
      </c>
      <c r="D306" s="166">
        <v>43</v>
      </c>
      <c r="E306" s="96">
        <v>1</v>
      </c>
      <c r="F306" s="96">
        <v>2</v>
      </c>
      <c r="G306" s="96">
        <v>10</v>
      </c>
      <c r="H306" s="96">
        <v>1000</v>
      </c>
      <c r="I306" s="96"/>
      <c r="J306" s="96"/>
      <c r="K306" s="126"/>
      <c r="L306" s="98" t="s">
        <v>322</v>
      </c>
      <c r="M306" s="99">
        <f>+M307+M310</f>
        <v>0</v>
      </c>
      <c r="N306" s="100"/>
      <c r="O306" s="101"/>
      <c r="P306" s="102"/>
    </row>
    <row r="307" spans="1:16" ht="18">
      <c r="B307" s="103">
        <v>2026</v>
      </c>
      <c r="C307" s="103">
        <v>21</v>
      </c>
      <c r="D307" s="167">
        <v>43</v>
      </c>
      <c r="E307" s="103">
        <v>1</v>
      </c>
      <c r="F307" s="103">
        <v>2</v>
      </c>
      <c r="G307" s="103">
        <v>10</v>
      </c>
      <c r="H307" s="103">
        <v>1000</v>
      </c>
      <c r="I307" s="103">
        <v>1100</v>
      </c>
      <c r="J307" s="103"/>
      <c r="K307" s="104"/>
      <c r="L307" s="105" t="s">
        <v>323</v>
      </c>
      <c r="M307" s="106">
        <f>+M308</f>
        <v>0</v>
      </c>
      <c r="N307" s="107"/>
      <c r="O307" s="108"/>
      <c r="P307" s="109"/>
    </row>
    <row r="308" spans="1:16" ht="18">
      <c r="B308" s="110">
        <v>2026</v>
      </c>
      <c r="C308" s="110">
        <v>21</v>
      </c>
      <c r="D308" s="168">
        <v>43</v>
      </c>
      <c r="E308" s="110">
        <v>1</v>
      </c>
      <c r="F308" s="110">
        <v>2</v>
      </c>
      <c r="G308" s="110">
        <v>10</v>
      </c>
      <c r="H308" s="110">
        <v>1000</v>
      </c>
      <c r="I308" s="110">
        <v>1100</v>
      </c>
      <c r="J308" s="110">
        <v>113</v>
      </c>
      <c r="K308" s="111"/>
      <c r="L308" s="123" t="s">
        <v>324</v>
      </c>
      <c r="M308" s="112">
        <f>+M309</f>
        <v>0</v>
      </c>
      <c r="N308" s="113"/>
      <c r="O308" s="114"/>
      <c r="P308" s="115"/>
    </row>
    <row r="309" spans="1:16" ht="36">
      <c r="B309" s="116">
        <v>2026</v>
      </c>
      <c r="C309" s="116">
        <v>21</v>
      </c>
      <c r="D309" s="169">
        <v>43</v>
      </c>
      <c r="E309" s="116">
        <v>1</v>
      </c>
      <c r="F309" s="116">
        <v>2</v>
      </c>
      <c r="G309" s="116">
        <v>10</v>
      </c>
      <c r="H309" s="116">
        <v>1000</v>
      </c>
      <c r="I309" s="116">
        <v>1100</v>
      </c>
      <c r="J309" s="116">
        <v>113</v>
      </c>
      <c r="K309" s="117">
        <v>1562</v>
      </c>
      <c r="L309" s="118" t="s">
        <v>325</v>
      </c>
      <c r="M309" s="119"/>
      <c r="N309" s="120" t="s">
        <v>326</v>
      </c>
      <c r="O309" s="121"/>
      <c r="P309" s="121"/>
    </row>
    <row r="310" spans="1:16" ht="18">
      <c r="B310" s="103">
        <v>2026</v>
      </c>
      <c r="C310" s="103">
        <v>21</v>
      </c>
      <c r="D310" s="167">
        <v>43</v>
      </c>
      <c r="E310" s="103">
        <v>1</v>
      </c>
      <c r="F310" s="103">
        <v>2</v>
      </c>
      <c r="G310" s="103">
        <v>10</v>
      </c>
      <c r="H310" s="103">
        <v>1000</v>
      </c>
      <c r="I310" s="103">
        <v>1700</v>
      </c>
      <c r="J310" s="103"/>
      <c r="K310" s="104"/>
      <c r="L310" s="105" t="s">
        <v>327</v>
      </c>
      <c r="M310" s="106">
        <f>+M311+M314</f>
        <v>0</v>
      </c>
      <c r="N310" s="107"/>
      <c r="O310" s="108"/>
      <c r="P310" s="109"/>
    </row>
    <row r="311" spans="1:16" ht="18">
      <c r="B311" s="110">
        <v>2026</v>
      </c>
      <c r="C311" s="110">
        <v>21</v>
      </c>
      <c r="D311" s="168">
        <v>43</v>
      </c>
      <c r="E311" s="110">
        <v>1</v>
      </c>
      <c r="F311" s="110">
        <v>2</v>
      </c>
      <c r="G311" s="110">
        <v>10</v>
      </c>
      <c r="H311" s="110">
        <v>1000</v>
      </c>
      <c r="I311" s="110">
        <v>1700</v>
      </c>
      <c r="J311" s="110">
        <v>171</v>
      </c>
      <c r="K311" s="111"/>
      <c r="L311" s="123" t="s">
        <v>328</v>
      </c>
      <c r="M311" s="112">
        <f>+M312+M313</f>
        <v>0</v>
      </c>
      <c r="N311" s="113"/>
      <c r="O311" s="114"/>
      <c r="P311" s="115"/>
    </row>
    <row r="312" spans="1:16" ht="18">
      <c r="B312" s="116">
        <v>2026</v>
      </c>
      <c r="C312" s="116">
        <v>21</v>
      </c>
      <c r="D312" s="169">
        <v>43</v>
      </c>
      <c r="E312" s="116">
        <v>1</v>
      </c>
      <c r="F312" s="116">
        <v>2</v>
      </c>
      <c r="G312" s="116">
        <v>10</v>
      </c>
      <c r="H312" s="116">
        <v>1000</v>
      </c>
      <c r="I312" s="116">
        <v>1700</v>
      </c>
      <c r="J312" s="116">
        <v>171</v>
      </c>
      <c r="K312" s="117">
        <v>645</v>
      </c>
      <c r="L312" s="118" t="s">
        <v>329</v>
      </c>
      <c r="M312" s="119"/>
      <c r="N312" s="120" t="s">
        <v>326</v>
      </c>
      <c r="O312" s="121"/>
      <c r="P312" s="121"/>
    </row>
    <row r="313" spans="1:16" ht="18">
      <c r="B313" s="116">
        <v>2026</v>
      </c>
      <c r="C313" s="116">
        <v>21</v>
      </c>
      <c r="D313" s="169">
        <v>43</v>
      </c>
      <c r="E313" s="116">
        <v>1</v>
      </c>
      <c r="F313" s="116">
        <v>2</v>
      </c>
      <c r="G313" s="116">
        <v>10</v>
      </c>
      <c r="H313" s="116">
        <v>1000</v>
      </c>
      <c r="I313" s="116">
        <v>1700</v>
      </c>
      <c r="J313" s="116">
        <v>171</v>
      </c>
      <c r="K313" s="117">
        <v>644</v>
      </c>
      <c r="L313" s="118" t="s">
        <v>330</v>
      </c>
      <c r="M313" s="119"/>
      <c r="N313" s="120" t="s">
        <v>326</v>
      </c>
      <c r="O313" s="121"/>
      <c r="P313" s="121"/>
    </row>
    <row r="314" spans="1:16" ht="18">
      <c r="B314" s="110">
        <v>2026</v>
      </c>
      <c r="C314" s="110">
        <v>21</v>
      </c>
      <c r="D314" s="168">
        <v>43</v>
      </c>
      <c r="E314" s="110">
        <v>1</v>
      </c>
      <c r="F314" s="110">
        <v>2</v>
      </c>
      <c r="G314" s="110">
        <v>10</v>
      </c>
      <c r="H314" s="110">
        <v>1000</v>
      </c>
      <c r="I314" s="110">
        <v>1700</v>
      </c>
      <c r="J314" s="110">
        <v>172</v>
      </c>
      <c r="K314" s="111"/>
      <c r="L314" s="123" t="s">
        <v>331</v>
      </c>
      <c r="M314" s="112">
        <f>+M315</f>
        <v>0</v>
      </c>
      <c r="N314" s="113"/>
      <c r="O314" s="114"/>
      <c r="P314" s="115"/>
    </row>
    <row r="315" spans="1:16" ht="18">
      <c r="B315" s="116">
        <v>2026</v>
      </c>
      <c r="C315" s="116">
        <v>21</v>
      </c>
      <c r="D315" s="169">
        <v>43</v>
      </c>
      <c r="E315" s="116">
        <v>1</v>
      </c>
      <c r="F315" s="116">
        <v>2</v>
      </c>
      <c r="G315" s="116">
        <v>10</v>
      </c>
      <c r="H315" s="116">
        <v>1000</v>
      </c>
      <c r="I315" s="116">
        <v>1700</v>
      </c>
      <c r="J315" s="116">
        <v>172</v>
      </c>
      <c r="K315" s="117">
        <v>1186</v>
      </c>
      <c r="L315" s="118" t="s">
        <v>331</v>
      </c>
      <c r="M315" s="119"/>
      <c r="N315" s="120" t="s">
        <v>326</v>
      </c>
      <c r="O315" s="121"/>
      <c r="P315" s="121"/>
    </row>
    <row r="316" spans="1:16" s="58" customFormat="1" ht="36">
      <c r="A316"/>
      <c r="B316" s="88">
        <v>2026</v>
      </c>
      <c r="C316" s="88">
        <v>21</v>
      </c>
      <c r="D316" s="165">
        <v>43</v>
      </c>
      <c r="E316" s="88">
        <v>1</v>
      </c>
      <c r="F316" s="88">
        <v>2</v>
      </c>
      <c r="G316" s="88">
        <v>11</v>
      </c>
      <c r="H316" s="88"/>
      <c r="I316" s="88"/>
      <c r="J316" s="88"/>
      <c r="K316" s="136"/>
      <c r="L316" s="91" t="s">
        <v>332</v>
      </c>
      <c r="M316" s="92">
        <f>+M317+M321</f>
        <v>0</v>
      </c>
      <c r="N316" s="93"/>
      <c r="O316" s="94"/>
      <c r="P316" s="95"/>
    </row>
    <row r="317" spans="1:16" s="58" customFormat="1" ht="18">
      <c r="A317"/>
      <c r="B317" s="96">
        <v>2026</v>
      </c>
      <c r="C317" s="96">
        <v>21</v>
      </c>
      <c r="D317" s="166">
        <v>43</v>
      </c>
      <c r="E317" s="96">
        <v>1</v>
      </c>
      <c r="F317" s="96">
        <v>2</v>
      </c>
      <c r="G317" s="96">
        <v>11</v>
      </c>
      <c r="H317" s="96">
        <v>3000</v>
      </c>
      <c r="I317" s="96"/>
      <c r="J317" s="96"/>
      <c r="K317" s="97"/>
      <c r="L317" s="98" t="s">
        <v>24</v>
      </c>
      <c r="M317" s="99">
        <f>+M318</f>
        <v>0</v>
      </c>
      <c r="N317" s="100"/>
      <c r="O317" s="101"/>
      <c r="P317" s="102"/>
    </row>
    <row r="318" spans="1:16" s="58" customFormat="1" ht="18">
      <c r="A318"/>
      <c r="B318" s="103">
        <v>2026</v>
      </c>
      <c r="C318" s="103">
        <v>21</v>
      </c>
      <c r="D318" s="167">
        <v>43</v>
      </c>
      <c r="E318" s="103">
        <v>1</v>
      </c>
      <c r="F318" s="103">
        <v>2</v>
      </c>
      <c r="G318" s="103">
        <v>11</v>
      </c>
      <c r="H318" s="103">
        <v>3000</v>
      </c>
      <c r="I318" s="103">
        <v>3900</v>
      </c>
      <c r="J318" s="103"/>
      <c r="K318" s="104"/>
      <c r="L318" s="105" t="s">
        <v>333</v>
      </c>
      <c r="M318" s="106">
        <f>+M319</f>
        <v>0</v>
      </c>
      <c r="N318" s="107"/>
      <c r="O318" s="108"/>
      <c r="P318" s="109"/>
    </row>
    <row r="319" spans="1:16" ht="18">
      <c r="B319" s="110">
        <v>2026</v>
      </c>
      <c r="C319" s="110">
        <v>21</v>
      </c>
      <c r="D319" s="168">
        <v>43</v>
      </c>
      <c r="E319" s="110">
        <v>1</v>
      </c>
      <c r="F319" s="110">
        <v>2</v>
      </c>
      <c r="G319" s="110">
        <v>11</v>
      </c>
      <c r="H319" s="110">
        <v>3000</v>
      </c>
      <c r="I319" s="110">
        <v>3900</v>
      </c>
      <c r="J319" s="110">
        <v>391</v>
      </c>
      <c r="K319" s="111"/>
      <c r="L319" s="123" t="s">
        <v>334</v>
      </c>
      <c r="M319" s="112">
        <f>+M320</f>
        <v>0</v>
      </c>
      <c r="N319" s="113"/>
      <c r="O319" s="114"/>
      <c r="P319" s="115"/>
    </row>
    <row r="320" spans="1:16" s="58" customFormat="1" ht="36">
      <c r="A320"/>
      <c r="B320" s="116">
        <v>2026</v>
      </c>
      <c r="C320" s="116">
        <v>21</v>
      </c>
      <c r="D320" s="169">
        <v>43</v>
      </c>
      <c r="E320" s="116">
        <v>1</v>
      </c>
      <c r="F320" s="116">
        <v>2</v>
      </c>
      <c r="G320" s="116">
        <v>11</v>
      </c>
      <c r="H320" s="116">
        <v>3000</v>
      </c>
      <c r="I320" s="116">
        <v>3900</v>
      </c>
      <c r="J320" s="116">
        <v>391</v>
      </c>
      <c r="K320" s="117">
        <v>1567</v>
      </c>
      <c r="L320" s="118" t="s">
        <v>335</v>
      </c>
      <c r="M320" s="119"/>
      <c r="N320" s="120" t="s">
        <v>28</v>
      </c>
      <c r="O320" s="121"/>
      <c r="P320" s="121"/>
    </row>
    <row r="321" spans="1:16" ht="18">
      <c r="B321" s="96">
        <v>2026</v>
      </c>
      <c r="C321" s="96">
        <v>21</v>
      </c>
      <c r="D321" s="166">
        <v>43</v>
      </c>
      <c r="E321" s="96">
        <v>1</v>
      </c>
      <c r="F321" s="96">
        <v>2</v>
      </c>
      <c r="G321" s="96">
        <v>11</v>
      </c>
      <c r="H321" s="96">
        <v>4000</v>
      </c>
      <c r="I321" s="96"/>
      <c r="J321" s="96"/>
      <c r="K321" s="97"/>
      <c r="L321" s="98" t="s">
        <v>314</v>
      </c>
      <c r="M321" s="99">
        <f>+M323</f>
        <v>0</v>
      </c>
      <c r="N321" s="100"/>
      <c r="O321" s="129"/>
      <c r="P321" s="130"/>
    </row>
    <row r="322" spans="1:16" ht="18">
      <c r="B322" s="103">
        <v>2026</v>
      </c>
      <c r="C322" s="103">
        <v>21</v>
      </c>
      <c r="D322" s="167">
        <v>43</v>
      </c>
      <c r="E322" s="103">
        <v>1</v>
      </c>
      <c r="F322" s="103">
        <v>2</v>
      </c>
      <c r="G322" s="103">
        <v>11</v>
      </c>
      <c r="H322" s="103">
        <v>4000</v>
      </c>
      <c r="I322" s="103">
        <v>4300</v>
      </c>
      <c r="J322" s="103"/>
      <c r="K322" s="104"/>
      <c r="L322" s="105" t="s">
        <v>336</v>
      </c>
      <c r="M322" s="106">
        <f>+M323</f>
        <v>0</v>
      </c>
      <c r="N322" s="107"/>
      <c r="O322" s="138"/>
      <c r="P322" s="139"/>
    </row>
    <row r="323" spans="1:16" ht="18">
      <c r="B323" s="110">
        <v>2026</v>
      </c>
      <c r="C323" s="110">
        <v>21</v>
      </c>
      <c r="D323" s="168">
        <v>43</v>
      </c>
      <c r="E323" s="110">
        <v>1</v>
      </c>
      <c r="F323" s="110">
        <v>2</v>
      </c>
      <c r="G323" s="110">
        <v>11</v>
      </c>
      <c r="H323" s="110">
        <v>4000</v>
      </c>
      <c r="I323" s="110">
        <v>4300</v>
      </c>
      <c r="J323" s="110">
        <v>436</v>
      </c>
      <c r="K323" s="111"/>
      <c r="L323" s="123" t="s">
        <v>337</v>
      </c>
      <c r="M323" s="112">
        <f>+M324</f>
        <v>0</v>
      </c>
      <c r="N323" s="113"/>
      <c r="O323" s="140"/>
      <c r="P323" s="141"/>
    </row>
    <row r="324" spans="1:16" ht="36">
      <c r="B324" s="116">
        <v>2026</v>
      </c>
      <c r="C324" s="116">
        <v>21</v>
      </c>
      <c r="D324" s="169">
        <v>43</v>
      </c>
      <c r="E324" s="116">
        <v>1</v>
      </c>
      <c r="F324" s="116">
        <v>2</v>
      </c>
      <c r="G324" s="116">
        <v>11</v>
      </c>
      <c r="H324" s="116">
        <v>4000</v>
      </c>
      <c r="I324" s="116">
        <v>4300</v>
      </c>
      <c r="J324" s="116">
        <v>436</v>
      </c>
      <c r="K324" s="117">
        <v>1568</v>
      </c>
      <c r="L324" s="118" t="s">
        <v>338</v>
      </c>
      <c r="M324" s="119"/>
      <c r="N324" s="120" t="s">
        <v>28</v>
      </c>
      <c r="O324" s="121"/>
      <c r="P324" s="121"/>
    </row>
    <row r="325" spans="1:16" s="58" customFormat="1" ht="18">
      <c r="A325"/>
      <c r="B325" s="73">
        <v>2026</v>
      </c>
      <c r="C325" s="73">
        <v>21</v>
      </c>
      <c r="D325" s="164">
        <v>43</v>
      </c>
      <c r="E325" s="73">
        <v>2</v>
      </c>
      <c r="F325" s="73"/>
      <c r="G325" s="73"/>
      <c r="H325" s="73"/>
      <c r="I325" s="73"/>
      <c r="J325" s="74"/>
      <c r="K325" s="75"/>
      <c r="L325" s="76" t="s">
        <v>339</v>
      </c>
      <c r="M325" s="77">
        <f>+M326</f>
        <v>1382053.7</v>
      </c>
      <c r="N325" s="78"/>
      <c r="O325" s="79"/>
      <c r="P325" s="80"/>
    </row>
    <row r="326" spans="1:16" s="58" customFormat="1" ht="18">
      <c r="A326"/>
      <c r="B326" s="81">
        <v>2026</v>
      </c>
      <c r="C326" s="81">
        <v>21</v>
      </c>
      <c r="D326" s="82">
        <v>43</v>
      </c>
      <c r="E326" s="81">
        <v>2</v>
      </c>
      <c r="F326" s="81">
        <v>3</v>
      </c>
      <c r="G326" s="81"/>
      <c r="H326" s="81"/>
      <c r="I326" s="81"/>
      <c r="J326" s="81"/>
      <c r="K326" s="82"/>
      <c r="L326" s="83" t="s">
        <v>340</v>
      </c>
      <c r="M326" s="84">
        <f>+M327+M528</f>
        <v>1382053.7</v>
      </c>
      <c r="N326" s="85" t="s">
        <v>341</v>
      </c>
      <c r="O326" s="86"/>
      <c r="P326" s="87"/>
    </row>
    <row r="327" spans="1:16" s="58" customFormat="1" ht="18">
      <c r="A327"/>
      <c r="B327" s="88">
        <v>2026</v>
      </c>
      <c r="C327" s="88">
        <v>21</v>
      </c>
      <c r="D327" s="165">
        <v>43</v>
      </c>
      <c r="E327" s="88">
        <v>2</v>
      </c>
      <c r="F327" s="88">
        <v>3</v>
      </c>
      <c r="G327" s="88">
        <v>12</v>
      </c>
      <c r="H327" s="88"/>
      <c r="I327" s="88"/>
      <c r="J327" s="89"/>
      <c r="K327" s="90"/>
      <c r="L327" s="91" t="s">
        <v>342</v>
      </c>
      <c r="M327" s="92">
        <f>+M328+M447+M464</f>
        <v>1382053.7</v>
      </c>
      <c r="N327" s="93"/>
      <c r="O327" s="94"/>
      <c r="P327" s="95"/>
    </row>
    <row r="328" spans="1:16" s="58" customFormat="1" ht="18">
      <c r="A328"/>
      <c r="B328" s="96">
        <v>2026</v>
      </c>
      <c r="C328" s="96">
        <v>21</v>
      </c>
      <c r="D328" s="166">
        <v>43</v>
      </c>
      <c r="E328" s="96">
        <v>2</v>
      </c>
      <c r="F328" s="96">
        <v>3</v>
      </c>
      <c r="G328" s="96">
        <v>12</v>
      </c>
      <c r="H328" s="96">
        <v>2000</v>
      </c>
      <c r="I328" s="96"/>
      <c r="J328" s="96"/>
      <c r="K328" s="96"/>
      <c r="L328" s="98" t="s">
        <v>38</v>
      </c>
      <c r="M328" s="99">
        <f>+M329+M334+M339+M345+M348+M393+M436</f>
        <v>1382053.7</v>
      </c>
      <c r="N328" s="100"/>
      <c r="O328" s="100"/>
      <c r="P328" s="100"/>
    </row>
    <row r="329" spans="1:16" s="58" customFormat="1" ht="18">
      <c r="A329"/>
      <c r="B329" s="103">
        <v>2026</v>
      </c>
      <c r="C329" s="103">
        <v>21</v>
      </c>
      <c r="D329" s="167">
        <v>43</v>
      </c>
      <c r="E329" s="103">
        <v>2</v>
      </c>
      <c r="F329" s="103">
        <v>3</v>
      </c>
      <c r="G329" s="103">
        <v>12</v>
      </c>
      <c r="H329" s="103">
        <v>2000</v>
      </c>
      <c r="I329" s="103">
        <v>2100</v>
      </c>
      <c r="J329" s="103"/>
      <c r="K329" s="103"/>
      <c r="L329" s="105" t="s">
        <v>39</v>
      </c>
      <c r="M329" s="106">
        <f>+M330+M332</f>
        <v>0</v>
      </c>
      <c r="N329" s="107"/>
      <c r="O329" s="107"/>
      <c r="P329" s="107"/>
    </row>
    <row r="330" spans="1:16" ht="18">
      <c r="B330" s="110">
        <v>2026</v>
      </c>
      <c r="C330" s="110">
        <v>21</v>
      </c>
      <c r="D330" s="168">
        <v>43</v>
      </c>
      <c r="E330" s="110">
        <v>2</v>
      </c>
      <c r="F330" s="110">
        <v>3</v>
      </c>
      <c r="G330" s="110">
        <v>12</v>
      </c>
      <c r="H330" s="110">
        <v>2000</v>
      </c>
      <c r="I330" s="110">
        <v>2100</v>
      </c>
      <c r="J330" s="110">
        <v>211</v>
      </c>
      <c r="K330" s="110"/>
      <c r="L330" s="123" t="s">
        <v>40</v>
      </c>
      <c r="M330" s="112">
        <f>+M331</f>
        <v>0</v>
      </c>
      <c r="N330" s="113"/>
      <c r="O330" s="113"/>
      <c r="P330" s="113"/>
    </row>
    <row r="331" spans="1:16" ht="18">
      <c r="B331" s="116">
        <v>2026</v>
      </c>
      <c r="C331" s="116">
        <v>21</v>
      </c>
      <c r="D331" s="169">
        <v>43</v>
      </c>
      <c r="E331" s="116">
        <v>2</v>
      </c>
      <c r="F331" s="116">
        <v>3</v>
      </c>
      <c r="G331" s="116">
        <v>12</v>
      </c>
      <c r="H331" s="116">
        <v>2000</v>
      </c>
      <c r="I331" s="116">
        <v>2100</v>
      </c>
      <c r="J331" s="116">
        <v>211</v>
      </c>
      <c r="K331" s="117">
        <v>915</v>
      </c>
      <c r="L331" s="118" t="s">
        <v>41</v>
      </c>
      <c r="M331" s="119"/>
      <c r="N331" s="120" t="s">
        <v>42</v>
      </c>
      <c r="O331" s="120"/>
      <c r="P331" s="120"/>
    </row>
    <row r="332" spans="1:16" ht="36">
      <c r="B332" s="110">
        <v>2026</v>
      </c>
      <c r="C332" s="110">
        <v>21</v>
      </c>
      <c r="D332" s="168">
        <v>43</v>
      </c>
      <c r="E332" s="110">
        <v>2</v>
      </c>
      <c r="F332" s="110">
        <v>3</v>
      </c>
      <c r="G332" s="110">
        <v>12</v>
      </c>
      <c r="H332" s="110">
        <v>2000</v>
      </c>
      <c r="I332" s="110">
        <v>2100</v>
      </c>
      <c r="J332" s="110">
        <v>214</v>
      </c>
      <c r="K332" s="110"/>
      <c r="L332" s="123" t="s">
        <v>45</v>
      </c>
      <c r="M332" s="112">
        <f>+M333</f>
        <v>0</v>
      </c>
      <c r="N332" s="113"/>
      <c r="O332" s="113"/>
      <c r="P332" s="113"/>
    </row>
    <row r="333" spans="1:16" ht="18">
      <c r="B333" s="116">
        <v>2026</v>
      </c>
      <c r="C333" s="116">
        <v>21</v>
      </c>
      <c r="D333" s="169">
        <v>43</v>
      </c>
      <c r="E333" s="116">
        <v>2</v>
      </c>
      <c r="F333" s="116">
        <v>3</v>
      </c>
      <c r="G333" s="116">
        <v>12</v>
      </c>
      <c r="H333" s="116">
        <v>2000</v>
      </c>
      <c r="I333" s="116">
        <v>2100</v>
      </c>
      <c r="J333" s="116">
        <v>214</v>
      </c>
      <c r="K333" s="117">
        <v>916</v>
      </c>
      <c r="L333" s="118" t="s">
        <v>46</v>
      </c>
      <c r="M333" s="119"/>
      <c r="N333" s="120" t="s">
        <v>44</v>
      </c>
      <c r="O333" s="120"/>
      <c r="P333" s="120"/>
    </row>
    <row r="334" spans="1:16" s="58" customFormat="1" ht="18">
      <c r="A334"/>
      <c r="B334" s="103">
        <v>2026</v>
      </c>
      <c r="C334" s="103">
        <v>21</v>
      </c>
      <c r="D334" s="167">
        <v>43</v>
      </c>
      <c r="E334" s="103">
        <v>2</v>
      </c>
      <c r="F334" s="103">
        <v>3</v>
      </c>
      <c r="G334" s="103">
        <v>12</v>
      </c>
      <c r="H334" s="103">
        <v>2000</v>
      </c>
      <c r="I334" s="103">
        <v>2200</v>
      </c>
      <c r="J334" s="103"/>
      <c r="K334" s="103"/>
      <c r="L334" s="105" t="s">
        <v>343</v>
      </c>
      <c r="M334" s="106">
        <f>+M335+M337</f>
        <v>0</v>
      </c>
      <c r="N334" s="107"/>
      <c r="O334" s="107"/>
      <c r="P334" s="107"/>
    </row>
    <row r="335" spans="1:16" s="58" customFormat="1" ht="18">
      <c r="A335"/>
      <c r="B335" s="110">
        <v>2026</v>
      </c>
      <c r="C335" s="110">
        <v>21</v>
      </c>
      <c r="D335" s="168">
        <v>43</v>
      </c>
      <c r="E335" s="110">
        <v>2</v>
      </c>
      <c r="F335" s="110">
        <v>3</v>
      </c>
      <c r="G335" s="110">
        <v>12</v>
      </c>
      <c r="H335" s="110">
        <v>2000</v>
      </c>
      <c r="I335" s="110">
        <v>2200</v>
      </c>
      <c r="J335" s="110">
        <v>221</v>
      </c>
      <c r="K335" s="110"/>
      <c r="L335" s="123" t="s">
        <v>344</v>
      </c>
      <c r="M335" s="112">
        <f>+M336</f>
        <v>0</v>
      </c>
      <c r="N335" s="113"/>
      <c r="O335" s="113"/>
      <c r="P335" s="113"/>
    </row>
    <row r="336" spans="1:16" ht="18">
      <c r="B336" s="116">
        <v>2026</v>
      </c>
      <c r="C336" s="116">
        <v>21</v>
      </c>
      <c r="D336" s="169">
        <v>43</v>
      </c>
      <c r="E336" s="116">
        <v>2</v>
      </c>
      <c r="F336" s="116">
        <v>3</v>
      </c>
      <c r="G336" s="116">
        <v>12</v>
      </c>
      <c r="H336" s="116">
        <v>2000</v>
      </c>
      <c r="I336" s="116">
        <v>2200</v>
      </c>
      <c r="J336" s="116">
        <v>221</v>
      </c>
      <c r="K336" s="117">
        <v>1519</v>
      </c>
      <c r="L336" s="118" t="s">
        <v>345</v>
      </c>
      <c r="M336" s="119"/>
      <c r="N336" s="120" t="s">
        <v>42</v>
      </c>
      <c r="O336" s="120"/>
      <c r="P336" s="120"/>
    </row>
    <row r="337" spans="1:16" ht="18">
      <c r="B337" s="110">
        <v>2026</v>
      </c>
      <c r="C337" s="110">
        <v>21</v>
      </c>
      <c r="D337" s="168">
        <v>43</v>
      </c>
      <c r="E337" s="110">
        <v>2</v>
      </c>
      <c r="F337" s="110">
        <v>3</v>
      </c>
      <c r="G337" s="110">
        <v>12</v>
      </c>
      <c r="H337" s="110">
        <v>2000</v>
      </c>
      <c r="I337" s="110">
        <v>2200</v>
      </c>
      <c r="J337" s="110">
        <v>223</v>
      </c>
      <c r="K337" s="110"/>
      <c r="L337" s="123" t="s">
        <v>346</v>
      </c>
      <c r="M337" s="112">
        <f>+M338</f>
        <v>0</v>
      </c>
      <c r="N337" s="113"/>
      <c r="O337" s="113"/>
      <c r="P337" s="113"/>
    </row>
    <row r="338" spans="1:16" s="58" customFormat="1" ht="18">
      <c r="A338"/>
      <c r="B338" s="116">
        <v>2026</v>
      </c>
      <c r="C338" s="116">
        <v>21</v>
      </c>
      <c r="D338" s="169">
        <v>43</v>
      </c>
      <c r="E338" s="116">
        <v>2</v>
      </c>
      <c r="F338" s="116">
        <v>3</v>
      </c>
      <c r="G338" s="116">
        <v>12</v>
      </c>
      <c r="H338" s="116">
        <v>2000</v>
      </c>
      <c r="I338" s="116">
        <v>2200</v>
      </c>
      <c r="J338" s="116">
        <v>223</v>
      </c>
      <c r="K338" s="117">
        <v>1484</v>
      </c>
      <c r="L338" s="118" t="s">
        <v>346</v>
      </c>
      <c r="M338" s="119"/>
      <c r="N338" s="120" t="s">
        <v>44</v>
      </c>
      <c r="O338" s="120"/>
      <c r="P338" s="120"/>
    </row>
    <row r="339" spans="1:16" ht="18">
      <c r="B339" s="103">
        <v>2026</v>
      </c>
      <c r="C339" s="103">
        <v>21</v>
      </c>
      <c r="D339" s="167">
        <v>43</v>
      </c>
      <c r="E339" s="103">
        <v>2</v>
      </c>
      <c r="F339" s="103">
        <v>3</v>
      </c>
      <c r="G339" s="103">
        <v>12</v>
      </c>
      <c r="H339" s="103">
        <v>2000</v>
      </c>
      <c r="I339" s="103">
        <v>2500</v>
      </c>
      <c r="J339" s="103"/>
      <c r="K339" s="103"/>
      <c r="L339" s="105" t="s">
        <v>347</v>
      </c>
      <c r="M339" s="142">
        <f>+M340+M343</f>
        <v>0</v>
      </c>
      <c r="N339" s="143"/>
      <c r="O339" s="143"/>
      <c r="P339" s="143"/>
    </row>
    <row r="340" spans="1:16" ht="18">
      <c r="B340" s="110">
        <v>2026</v>
      </c>
      <c r="C340" s="110">
        <v>21</v>
      </c>
      <c r="D340" s="168">
        <v>43</v>
      </c>
      <c r="E340" s="110">
        <v>2</v>
      </c>
      <c r="F340" s="110">
        <v>3</v>
      </c>
      <c r="G340" s="110">
        <v>12</v>
      </c>
      <c r="H340" s="110">
        <v>2000</v>
      </c>
      <c r="I340" s="110">
        <v>2500</v>
      </c>
      <c r="J340" s="110">
        <v>254</v>
      </c>
      <c r="K340" s="110"/>
      <c r="L340" s="123" t="s">
        <v>348</v>
      </c>
      <c r="M340" s="112">
        <f>SUBTOTAL(9,M341:M342)</f>
        <v>0</v>
      </c>
      <c r="N340" s="113"/>
      <c r="O340" s="113"/>
      <c r="P340" s="113"/>
    </row>
    <row r="341" spans="1:16" ht="18">
      <c r="B341" s="116">
        <v>2026</v>
      </c>
      <c r="C341" s="116">
        <v>21</v>
      </c>
      <c r="D341" s="169">
        <v>43</v>
      </c>
      <c r="E341" s="116">
        <v>2</v>
      </c>
      <c r="F341" s="116">
        <v>3</v>
      </c>
      <c r="G341" s="116">
        <v>12</v>
      </c>
      <c r="H341" s="116">
        <v>2000</v>
      </c>
      <c r="I341" s="116">
        <v>2500</v>
      </c>
      <c r="J341" s="116">
        <v>254</v>
      </c>
      <c r="K341" s="117">
        <v>166</v>
      </c>
      <c r="L341" s="118" t="s">
        <v>349</v>
      </c>
      <c r="M341" s="119"/>
      <c r="N341" s="120" t="s">
        <v>56</v>
      </c>
      <c r="O341" s="120"/>
      <c r="P341" s="120"/>
    </row>
    <row r="342" spans="1:16" ht="18">
      <c r="B342" s="116">
        <v>2026</v>
      </c>
      <c r="C342" s="116">
        <v>21</v>
      </c>
      <c r="D342" s="169">
        <v>43</v>
      </c>
      <c r="E342" s="116">
        <v>2</v>
      </c>
      <c r="F342" s="116">
        <v>3</v>
      </c>
      <c r="G342" s="116">
        <v>12</v>
      </c>
      <c r="H342" s="116">
        <v>2000</v>
      </c>
      <c r="I342" s="116">
        <v>2500</v>
      </c>
      <c r="J342" s="116">
        <v>254</v>
      </c>
      <c r="K342" s="117">
        <v>919</v>
      </c>
      <c r="L342" s="118" t="s">
        <v>348</v>
      </c>
      <c r="M342" s="119"/>
      <c r="N342" s="120" t="s">
        <v>56</v>
      </c>
      <c r="O342" s="120"/>
      <c r="P342" s="120"/>
    </row>
    <row r="343" spans="1:16" ht="18">
      <c r="B343" s="110">
        <v>2026</v>
      </c>
      <c r="C343" s="110">
        <v>21</v>
      </c>
      <c r="D343" s="168">
        <v>43</v>
      </c>
      <c r="E343" s="110">
        <v>2</v>
      </c>
      <c r="F343" s="110">
        <v>3</v>
      </c>
      <c r="G343" s="110">
        <v>12</v>
      </c>
      <c r="H343" s="110">
        <v>2000</v>
      </c>
      <c r="I343" s="110">
        <v>2500</v>
      </c>
      <c r="J343" s="110">
        <v>259</v>
      </c>
      <c r="K343" s="110"/>
      <c r="L343" s="123" t="s">
        <v>350</v>
      </c>
      <c r="M343" s="112">
        <f>SUBTOTAL(9,M344)</f>
        <v>0</v>
      </c>
      <c r="N343" s="113"/>
      <c r="O343" s="113"/>
      <c r="P343" s="113"/>
    </row>
    <row r="344" spans="1:16" ht="18">
      <c r="B344" s="116">
        <v>2026</v>
      </c>
      <c r="C344" s="116">
        <v>21</v>
      </c>
      <c r="D344" s="169">
        <v>43</v>
      </c>
      <c r="E344" s="116">
        <v>2</v>
      </c>
      <c r="F344" s="116">
        <v>3</v>
      </c>
      <c r="G344" s="116">
        <v>12</v>
      </c>
      <c r="H344" s="116">
        <v>2000</v>
      </c>
      <c r="I344" s="116">
        <v>2500</v>
      </c>
      <c r="J344" s="116">
        <v>259</v>
      </c>
      <c r="K344" s="117">
        <v>1024</v>
      </c>
      <c r="L344" s="118" t="s">
        <v>350</v>
      </c>
      <c r="M344" s="119"/>
      <c r="N344" s="120" t="s">
        <v>56</v>
      </c>
      <c r="O344" s="120"/>
      <c r="P344" s="120"/>
    </row>
    <row r="345" spans="1:16" ht="18">
      <c r="B345" s="103">
        <v>2026</v>
      </c>
      <c r="C345" s="103">
        <v>21</v>
      </c>
      <c r="D345" s="167">
        <v>43</v>
      </c>
      <c r="E345" s="103">
        <v>2</v>
      </c>
      <c r="F345" s="103">
        <v>3</v>
      </c>
      <c r="G345" s="103">
        <v>12</v>
      </c>
      <c r="H345" s="103">
        <v>2000</v>
      </c>
      <c r="I345" s="103">
        <v>2600</v>
      </c>
      <c r="J345" s="103"/>
      <c r="K345" s="103"/>
      <c r="L345" s="105" t="s">
        <v>50</v>
      </c>
      <c r="M345" s="106">
        <f>+M346</f>
        <v>0</v>
      </c>
      <c r="N345" s="107"/>
      <c r="O345" s="107"/>
      <c r="P345" s="107"/>
    </row>
    <row r="346" spans="1:16" ht="18">
      <c r="B346" s="110">
        <v>2026</v>
      </c>
      <c r="C346" s="110">
        <v>21</v>
      </c>
      <c r="D346" s="168">
        <v>43</v>
      </c>
      <c r="E346" s="110">
        <v>2</v>
      </c>
      <c r="F346" s="110">
        <v>3</v>
      </c>
      <c r="G346" s="110">
        <v>12</v>
      </c>
      <c r="H346" s="110">
        <v>2000</v>
      </c>
      <c r="I346" s="110">
        <v>2600</v>
      </c>
      <c r="J346" s="110">
        <v>261</v>
      </c>
      <c r="K346" s="110"/>
      <c r="L346" s="123" t="s">
        <v>50</v>
      </c>
      <c r="M346" s="112">
        <f>+M347</f>
        <v>0</v>
      </c>
      <c r="N346" s="113"/>
      <c r="O346" s="113"/>
      <c r="P346" s="113"/>
    </row>
    <row r="347" spans="1:16" ht="18">
      <c r="B347" s="116">
        <v>2026</v>
      </c>
      <c r="C347" s="116">
        <v>21</v>
      </c>
      <c r="D347" s="169">
        <v>43</v>
      </c>
      <c r="E347" s="116">
        <v>2</v>
      </c>
      <c r="F347" s="116">
        <v>3</v>
      </c>
      <c r="G347" s="116">
        <v>12</v>
      </c>
      <c r="H347" s="116">
        <v>2000</v>
      </c>
      <c r="I347" s="116">
        <v>2600</v>
      </c>
      <c r="J347" s="116">
        <v>261</v>
      </c>
      <c r="K347" s="117">
        <v>1520</v>
      </c>
      <c r="L347" s="118" t="s">
        <v>351</v>
      </c>
      <c r="M347" s="119"/>
      <c r="N347" s="120" t="s">
        <v>352</v>
      </c>
      <c r="O347" s="120"/>
      <c r="P347" s="120"/>
    </row>
    <row r="348" spans="1:16" ht="18">
      <c r="B348" s="103">
        <v>2026</v>
      </c>
      <c r="C348" s="103">
        <v>21</v>
      </c>
      <c r="D348" s="167">
        <v>43</v>
      </c>
      <c r="E348" s="103">
        <v>2</v>
      </c>
      <c r="F348" s="103">
        <v>3</v>
      </c>
      <c r="G348" s="103">
        <v>12</v>
      </c>
      <c r="H348" s="103">
        <v>2000</v>
      </c>
      <c r="I348" s="103">
        <v>2700</v>
      </c>
      <c r="J348" s="103"/>
      <c r="K348" s="103"/>
      <c r="L348" s="105" t="s">
        <v>53</v>
      </c>
      <c r="M348" s="106">
        <f>+M349+M387+M390</f>
        <v>1351303.7</v>
      </c>
      <c r="N348" s="107"/>
      <c r="O348" s="107"/>
      <c r="P348" s="107"/>
    </row>
    <row r="349" spans="1:16" ht="18">
      <c r="B349" s="110">
        <v>2026</v>
      </c>
      <c r="C349" s="110">
        <v>21</v>
      </c>
      <c r="D349" s="168">
        <v>43</v>
      </c>
      <c r="E349" s="110">
        <v>2</v>
      </c>
      <c r="F349" s="110">
        <v>3</v>
      </c>
      <c r="G349" s="110">
        <v>12</v>
      </c>
      <c r="H349" s="110">
        <v>2000</v>
      </c>
      <c r="I349" s="110">
        <v>2700</v>
      </c>
      <c r="J349" s="110">
        <v>271</v>
      </c>
      <c r="K349" s="110"/>
      <c r="L349" s="123" t="s">
        <v>54</v>
      </c>
      <c r="M349" s="112">
        <f>SUBTOTAL(9,M350:M386)</f>
        <v>1351303.7</v>
      </c>
      <c r="N349" s="113"/>
      <c r="O349" s="113"/>
      <c r="P349" s="113"/>
    </row>
    <row r="350" spans="1:16" ht="18">
      <c r="B350" s="116">
        <v>2026</v>
      </c>
      <c r="C350" s="116">
        <v>21</v>
      </c>
      <c r="D350" s="169">
        <v>43</v>
      </c>
      <c r="E350" s="116">
        <v>2</v>
      </c>
      <c r="F350" s="116">
        <v>3</v>
      </c>
      <c r="G350" s="116">
        <v>12</v>
      </c>
      <c r="H350" s="116">
        <v>2000</v>
      </c>
      <c r="I350" s="116">
        <v>2700</v>
      </c>
      <c r="J350" s="116">
        <v>271</v>
      </c>
      <c r="K350" s="117">
        <v>142</v>
      </c>
      <c r="L350" s="118" t="s">
        <v>353</v>
      </c>
      <c r="M350" s="119"/>
      <c r="N350" s="120" t="s">
        <v>56</v>
      </c>
      <c r="O350" s="120"/>
      <c r="P350" s="120"/>
    </row>
    <row r="351" spans="1:16" ht="18">
      <c r="B351" s="116">
        <v>2026</v>
      </c>
      <c r="C351" s="116">
        <v>21</v>
      </c>
      <c r="D351" s="169">
        <v>43</v>
      </c>
      <c r="E351" s="116">
        <v>2</v>
      </c>
      <c r="F351" s="116">
        <v>3</v>
      </c>
      <c r="G351" s="116">
        <v>12</v>
      </c>
      <c r="H351" s="116">
        <v>2000</v>
      </c>
      <c r="I351" s="116">
        <v>2700</v>
      </c>
      <c r="J351" s="116">
        <v>271</v>
      </c>
      <c r="K351" s="117">
        <v>156</v>
      </c>
      <c r="L351" s="118" t="s">
        <v>354</v>
      </c>
      <c r="M351" s="119"/>
      <c r="N351" s="120" t="s">
        <v>56</v>
      </c>
      <c r="O351" s="120"/>
      <c r="P351" s="120"/>
    </row>
    <row r="352" spans="1:16" ht="18">
      <c r="B352" s="116">
        <v>2026</v>
      </c>
      <c r="C352" s="116">
        <v>21</v>
      </c>
      <c r="D352" s="169">
        <v>43</v>
      </c>
      <c r="E352" s="116">
        <v>2</v>
      </c>
      <c r="F352" s="116">
        <v>3</v>
      </c>
      <c r="G352" s="116">
        <v>12</v>
      </c>
      <c r="H352" s="116">
        <v>2000</v>
      </c>
      <c r="I352" s="116">
        <v>2700</v>
      </c>
      <c r="J352" s="116">
        <v>271</v>
      </c>
      <c r="K352" s="117">
        <v>163</v>
      </c>
      <c r="L352" s="118" t="s">
        <v>355</v>
      </c>
      <c r="M352" s="119">
        <v>146780</v>
      </c>
      <c r="N352" s="120" t="s">
        <v>58</v>
      </c>
      <c r="O352" s="120">
        <v>82</v>
      </c>
      <c r="P352" s="120"/>
    </row>
    <row r="353" spans="2:16" ht="18">
      <c r="B353" s="116">
        <v>2026</v>
      </c>
      <c r="C353" s="116">
        <v>21</v>
      </c>
      <c r="D353" s="169">
        <v>43</v>
      </c>
      <c r="E353" s="116">
        <v>2</v>
      </c>
      <c r="F353" s="116">
        <v>3</v>
      </c>
      <c r="G353" s="116">
        <v>12</v>
      </c>
      <c r="H353" s="116">
        <v>2000</v>
      </c>
      <c r="I353" s="116">
        <v>2700</v>
      </c>
      <c r="J353" s="116">
        <v>271</v>
      </c>
      <c r="K353" s="117">
        <v>227</v>
      </c>
      <c r="L353" s="118" t="s">
        <v>356</v>
      </c>
      <c r="M353" s="119">
        <v>119978.3</v>
      </c>
      <c r="N353" s="120" t="s">
        <v>56</v>
      </c>
      <c r="O353" s="120">
        <v>82</v>
      </c>
      <c r="P353" s="120"/>
    </row>
    <row r="354" spans="2:16" ht="18">
      <c r="B354" s="116">
        <v>2026</v>
      </c>
      <c r="C354" s="116">
        <v>21</v>
      </c>
      <c r="D354" s="169">
        <v>43</v>
      </c>
      <c r="E354" s="116">
        <v>2</v>
      </c>
      <c r="F354" s="116">
        <v>3</v>
      </c>
      <c r="G354" s="116">
        <v>12</v>
      </c>
      <c r="H354" s="116">
        <v>2000</v>
      </c>
      <c r="I354" s="116">
        <v>2700</v>
      </c>
      <c r="J354" s="116">
        <v>271</v>
      </c>
      <c r="K354" s="117">
        <v>231</v>
      </c>
      <c r="L354" s="118" t="s">
        <v>357</v>
      </c>
      <c r="M354" s="119">
        <v>107952.18</v>
      </c>
      <c r="N354" s="120" t="s">
        <v>56</v>
      </c>
      <c r="O354" s="120">
        <v>82</v>
      </c>
      <c r="P354" s="120"/>
    </row>
    <row r="355" spans="2:16" ht="18">
      <c r="B355" s="116">
        <v>2026</v>
      </c>
      <c r="C355" s="116">
        <v>21</v>
      </c>
      <c r="D355" s="169">
        <v>43</v>
      </c>
      <c r="E355" s="116">
        <v>2</v>
      </c>
      <c r="F355" s="116">
        <v>3</v>
      </c>
      <c r="G355" s="116">
        <v>12</v>
      </c>
      <c r="H355" s="116">
        <v>2000</v>
      </c>
      <c r="I355" s="116">
        <v>2700</v>
      </c>
      <c r="J355" s="116">
        <v>271</v>
      </c>
      <c r="K355" s="117">
        <v>317</v>
      </c>
      <c r="L355" s="118" t="s">
        <v>358</v>
      </c>
      <c r="M355" s="119"/>
      <c r="N355" s="120" t="s">
        <v>56</v>
      </c>
      <c r="O355" s="120"/>
      <c r="P355" s="120"/>
    </row>
    <row r="356" spans="2:16" ht="18">
      <c r="B356" s="116">
        <v>2026</v>
      </c>
      <c r="C356" s="116">
        <v>21</v>
      </c>
      <c r="D356" s="169">
        <v>43</v>
      </c>
      <c r="E356" s="116">
        <v>2</v>
      </c>
      <c r="F356" s="116">
        <v>3</v>
      </c>
      <c r="G356" s="116">
        <v>12</v>
      </c>
      <c r="H356" s="116">
        <v>2000</v>
      </c>
      <c r="I356" s="116">
        <v>2700</v>
      </c>
      <c r="J356" s="116">
        <v>271</v>
      </c>
      <c r="K356" s="117">
        <v>322</v>
      </c>
      <c r="L356" s="118" t="s">
        <v>359</v>
      </c>
      <c r="M356" s="119">
        <v>153094</v>
      </c>
      <c r="N356" s="120" t="s">
        <v>56</v>
      </c>
      <c r="O356" s="120">
        <v>82</v>
      </c>
      <c r="P356" s="120"/>
    </row>
    <row r="357" spans="2:16" ht="18">
      <c r="B357" s="116">
        <v>2026</v>
      </c>
      <c r="C357" s="116">
        <v>21</v>
      </c>
      <c r="D357" s="169">
        <v>43</v>
      </c>
      <c r="E357" s="116">
        <v>2</v>
      </c>
      <c r="F357" s="116">
        <v>3</v>
      </c>
      <c r="G357" s="116">
        <v>12</v>
      </c>
      <c r="H357" s="116">
        <v>2000</v>
      </c>
      <c r="I357" s="116">
        <v>2700</v>
      </c>
      <c r="J357" s="116">
        <v>271</v>
      </c>
      <c r="K357" s="117">
        <v>326</v>
      </c>
      <c r="L357" s="118" t="s">
        <v>360</v>
      </c>
      <c r="M357" s="119"/>
      <c r="N357" s="120" t="s">
        <v>56</v>
      </c>
      <c r="O357" s="120"/>
      <c r="P357" s="120"/>
    </row>
    <row r="358" spans="2:16" ht="18">
      <c r="B358" s="116">
        <v>2026</v>
      </c>
      <c r="C358" s="116">
        <v>21</v>
      </c>
      <c r="D358" s="169">
        <v>43</v>
      </c>
      <c r="E358" s="116">
        <v>2</v>
      </c>
      <c r="F358" s="116">
        <v>3</v>
      </c>
      <c r="G358" s="116">
        <v>12</v>
      </c>
      <c r="H358" s="116">
        <v>2000</v>
      </c>
      <c r="I358" s="116">
        <v>2700</v>
      </c>
      <c r="J358" s="116">
        <v>271</v>
      </c>
      <c r="K358" s="117">
        <v>336</v>
      </c>
      <c r="L358" s="118" t="s">
        <v>361</v>
      </c>
      <c r="M358" s="119">
        <v>49320</v>
      </c>
      <c r="N358" s="120" t="s">
        <v>56</v>
      </c>
      <c r="O358" s="120">
        <v>82</v>
      </c>
      <c r="P358" s="120"/>
    </row>
    <row r="359" spans="2:16" ht="18">
      <c r="B359" s="116">
        <v>2026</v>
      </c>
      <c r="C359" s="116">
        <v>21</v>
      </c>
      <c r="D359" s="169">
        <v>43</v>
      </c>
      <c r="E359" s="116">
        <v>2</v>
      </c>
      <c r="F359" s="116">
        <v>3</v>
      </c>
      <c r="G359" s="116">
        <v>12</v>
      </c>
      <c r="H359" s="116">
        <v>2000</v>
      </c>
      <c r="I359" s="116">
        <v>2700</v>
      </c>
      <c r="J359" s="116">
        <v>271</v>
      </c>
      <c r="K359" s="117">
        <v>395</v>
      </c>
      <c r="L359" s="118" t="s">
        <v>362</v>
      </c>
      <c r="M359" s="119">
        <v>18040</v>
      </c>
      <c r="N359" s="120" t="s">
        <v>56</v>
      </c>
      <c r="O359" s="120">
        <v>82</v>
      </c>
      <c r="P359" s="120"/>
    </row>
    <row r="360" spans="2:16" ht="18">
      <c r="B360" s="116">
        <v>2026</v>
      </c>
      <c r="C360" s="116">
        <v>21</v>
      </c>
      <c r="D360" s="169">
        <v>43</v>
      </c>
      <c r="E360" s="116">
        <v>2</v>
      </c>
      <c r="F360" s="116">
        <v>3</v>
      </c>
      <c r="G360" s="116">
        <v>12</v>
      </c>
      <c r="H360" s="116">
        <v>2000</v>
      </c>
      <c r="I360" s="116">
        <v>2700</v>
      </c>
      <c r="J360" s="116">
        <v>271</v>
      </c>
      <c r="K360" s="117">
        <v>681</v>
      </c>
      <c r="L360" s="118" t="s">
        <v>363</v>
      </c>
      <c r="M360" s="119"/>
      <c r="N360" s="120" t="s">
        <v>56</v>
      </c>
      <c r="O360" s="120"/>
      <c r="P360" s="120"/>
    </row>
    <row r="361" spans="2:16" ht="18">
      <c r="B361" s="116">
        <v>2026</v>
      </c>
      <c r="C361" s="116">
        <v>21</v>
      </c>
      <c r="D361" s="169">
        <v>43</v>
      </c>
      <c r="E361" s="116">
        <v>2</v>
      </c>
      <c r="F361" s="116">
        <v>3</v>
      </c>
      <c r="G361" s="116">
        <v>12</v>
      </c>
      <c r="H361" s="116">
        <v>2000</v>
      </c>
      <c r="I361" s="116">
        <v>2700</v>
      </c>
      <c r="J361" s="116">
        <v>271</v>
      </c>
      <c r="K361" s="117">
        <v>719</v>
      </c>
      <c r="L361" s="118" t="s">
        <v>364</v>
      </c>
      <c r="M361" s="119"/>
      <c r="N361" s="120" t="s">
        <v>56</v>
      </c>
      <c r="O361" s="120"/>
      <c r="P361" s="120"/>
    </row>
    <row r="362" spans="2:16" ht="18">
      <c r="B362" s="116">
        <v>2026</v>
      </c>
      <c r="C362" s="116">
        <v>21</v>
      </c>
      <c r="D362" s="169">
        <v>43</v>
      </c>
      <c r="E362" s="116">
        <v>2</v>
      </c>
      <c r="F362" s="116">
        <v>3</v>
      </c>
      <c r="G362" s="116">
        <v>12</v>
      </c>
      <c r="H362" s="116">
        <v>2000</v>
      </c>
      <c r="I362" s="116">
        <v>2700</v>
      </c>
      <c r="J362" s="116">
        <v>271</v>
      </c>
      <c r="K362" s="117">
        <v>737</v>
      </c>
      <c r="L362" s="118" t="s">
        <v>365</v>
      </c>
      <c r="M362" s="119">
        <v>14760</v>
      </c>
      <c r="N362" s="120" t="s">
        <v>58</v>
      </c>
      <c r="O362" s="120">
        <v>82</v>
      </c>
      <c r="P362" s="120"/>
    </row>
    <row r="363" spans="2:16" ht="18">
      <c r="B363" s="116">
        <v>2026</v>
      </c>
      <c r="C363" s="116">
        <v>21</v>
      </c>
      <c r="D363" s="169">
        <v>43</v>
      </c>
      <c r="E363" s="116">
        <v>2</v>
      </c>
      <c r="F363" s="116">
        <v>3</v>
      </c>
      <c r="G363" s="116">
        <v>12</v>
      </c>
      <c r="H363" s="116">
        <v>2000</v>
      </c>
      <c r="I363" s="116">
        <v>2700</v>
      </c>
      <c r="J363" s="116">
        <v>271</v>
      </c>
      <c r="K363" s="117">
        <v>761</v>
      </c>
      <c r="L363" s="118" t="s">
        <v>366</v>
      </c>
      <c r="M363" s="119"/>
      <c r="N363" s="120" t="s">
        <v>56</v>
      </c>
      <c r="O363" s="120"/>
      <c r="P363" s="120"/>
    </row>
    <row r="364" spans="2:16" ht="18">
      <c r="B364" s="116">
        <v>2026</v>
      </c>
      <c r="C364" s="116">
        <v>21</v>
      </c>
      <c r="D364" s="169">
        <v>43</v>
      </c>
      <c r="E364" s="116">
        <v>2</v>
      </c>
      <c r="F364" s="116">
        <v>3</v>
      </c>
      <c r="G364" s="116">
        <v>12</v>
      </c>
      <c r="H364" s="116">
        <v>2000</v>
      </c>
      <c r="I364" s="116">
        <v>2700</v>
      </c>
      <c r="J364" s="116">
        <v>271</v>
      </c>
      <c r="K364" s="117">
        <v>778</v>
      </c>
      <c r="L364" s="118" t="s">
        <v>367</v>
      </c>
      <c r="M364" s="119"/>
      <c r="N364" s="144" t="s">
        <v>368</v>
      </c>
      <c r="O364" s="120"/>
      <c r="P364" s="120"/>
    </row>
    <row r="365" spans="2:16" ht="18">
      <c r="B365" s="116">
        <v>2026</v>
      </c>
      <c r="C365" s="116">
        <v>21</v>
      </c>
      <c r="D365" s="169">
        <v>43</v>
      </c>
      <c r="E365" s="116">
        <v>2</v>
      </c>
      <c r="F365" s="116">
        <v>3</v>
      </c>
      <c r="G365" s="116">
        <v>12</v>
      </c>
      <c r="H365" s="116">
        <v>2000</v>
      </c>
      <c r="I365" s="116">
        <v>2700</v>
      </c>
      <c r="J365" s="116">
        <v>271</v>
      </c>
      <c r="K365" s="117">
        <v>792</v>
      </c>
      <c r="L365" s="118" t="s">
        <v>369</v>
      </c>
      <c r="M365" s="119">
        <v>69553.22</v>
      </c>
      <c r="N365" s="120" t="s">
        <v>56</v>
      </c>
      <c r="O365" s="120">
        <v>82</v>
      </c>
      <c r="P365" s="120"/>
    </row>
    <row r="366" spans="2:16" ht="18">
      <c r="B366" s="116">
        <v>2026</v>
      </c>
      <c r="C366" s="116">
        <v>21</v>
      </c>
      <c r="D366" s="169">
        <v>43</v>
      </c>
      <c r="E366" s="116">
        <v>2</v>
      </c>
      <c r="F366" s="116">
        <v>3</v>
      </c>
      <c r="G366" s="116">
        <v>12</v>
      </c>
      <c r="H366" s="116">
        <v>2000</v>
      </c>
      <c r="I366" s="116">
        <v>2700</v>
      </c>
      <c r="J366" s="116">
        <v>271</v>
      </c>
      <c r="K366" s="117">
        <v>1028</v>
      </c>
      <c r="L366" s="118" t="s">
        <v>370</v>
      </c>
      <c r="M366" s="119"/>
      <c r="N366" s="120" t="s">
        <v>56</v>
      </c>
      <c r="O366" s="120"/>
      <c r="P366" s="120"/>
    </row>
    <row r="367" spans="2:16" ht="18">
      <c r="B367" s="116">
        <v>2026</v>
      </c>
      <c r="C367" s="116">
        <v>21</v>
      </c>
      <c r="D367" s="169">
        <v>43</v>
      </c>
      <c r="E367" s="116">
        <v>2</v>
      </c>
      <c r="F367" s="116">
        <v>3</v>
      </c>
      <c r="G367" s="116">
        <v>12</v>
      </c>
      <c r="H367" s="116">
        <v>2000</v>
      </c>
      <c r="I367" s="116">
        <v>2700</v>
      </c>
      <c r="J367" s="116">
        <v>271</v>
      </c>
      <c r="K367" s="117">
        <v>1052</v>
      </c>
      <c r="L367" s="118" t="s">
        <v>371</v>
      </c>
      <c r="M367" s="119">
        <v>108896</v>
      </c>
      <c r="N367" s="120" t="s">
        <v>56</v>
      </c>
      <c r="O367" s="120">
        <v>82</v>
      </c>
      <c r="P367" s="120"/>
    </row>
    <row r="368" spans="2:16" ht="18">
      <c r="B368" s="116">
        <v>2026</v>
      </c>
      <c r="C368" s="116">
        <v>21</v>
      </c>
      <c r="D368" s="169">
        <v>43</v>
      </c>
      <c r="E368" s="116">
        <v>2</v>
      </c>
      <c r="F368" s="116">
        <v>3</v>
      </c>
      <c r="G368" s="116">
        <v>12</v>
      </c>
      <c r="H368" s="116">
        <v>2000</v>
      </c>
      <c r="I368" s="116">
        <v>2700</v>
      </c>
      <c r="J368" s="116">
        <v>271</v>
      </c>
      <c r="K368" s="117">
        <v>1058</v>
      </c>
      <c r="L368" s="118" t="s">
        <v>372</v>
      </c>
      <c r="M368" s="119"/>
      <c r="N368" s="120" t="s">
        <v>56</v>
      </c>
      <c r="O368" s="120"/>
      <c r="P368" s="120"/>
    </row>
    <row r="369" spans="2:16" ht="18">
      <c r="B369" s="116">
        <v>2026</v>
      </c>
      <c r="C369" s="116">
        <v>21</v>
      </c>
      <c r="D369" s="169">
        <v>43</v>
      </c>
      <c r="E369" s="116">
        <v>2</v>
      </c>
      <c r="F369" s="116">
        <v>3</v>
      </c>
      <c r="G369" s="116">
        <v>12</v>
      </c>
      <c r="H369" s="116">
        <v>2000</v>
      </c>
      <c r="I369" s="116">
        <v>2700</v>
      </c>
      <c r="J369" s="116">
        <v>271</v>
      </c>
      <c r="K369" s="117">
        <v>1097</v>
      </c>
      <c r="L369" s="118" t="s">
        <v>373</v>
      </c>
      <c r="M369" s="119">
        <v>28183.4</v>
      </c>
      <c r="N369" s="120" t="s">
        <v>56</v>
      </c>
      <c r="O369" s="120">
        <v>82</v>
      </c>
      <c r="P369" s="120"/>
    </row>
    <row r="370" spans="2:16" ht="18">
      <c r="B370" s="116">
        <v>2026</v>
      </c>
      <c r="C370" s="116">
        <v>21</v>
      </c>
      <c r="D370" s="169">
        <v>43</v>
      </c>
      <c r="E370" s="116">
        <v>2</v>
      </c>
      <c r="F370" s="116">
        <v>3</v>
      </c>
      <c r="G370" s="116">
        <v>12</v>
      </c>
      <c r="H370" s="116">
        <v>2000</v>
      </c>
      <c r="I370" s="116">
        <v>2700</v>
      </c>
      <c r="J370" s="116">
        <v>271</v>
      </c>
      <c r="K370" s="117">
        <v>1101</v>
      </c>
      <c r="L370" s="118" t="s">
        <v>374</v>
      </c>
      <c r="M370" s="119">
        <v>42746.6</v>
      </c>
      <c r="N370" s="120" t="s">
        <v>56</v>
      </c>
      <c r="O370" s="120">
        <v>82</v>
      </c>
      <c r="P370" s="120"/>
    </row>
    <row r="371" spans="2:16" ht="18">
      <c r="B371" s="116">
        <v>2026</v>
      </c>
      <c r="C371" s="116">
        <v>21</v>
      </c>
      <c r="D371" s="169">
        <v>43</v>
      </c>
      <c r="E371" s="116">
        <v>2</v>
      </c>
      <c r="F371" s="116">
        <v>3</v>
      </c>
      <c r="G371" s="116">
        <v>12</v>
      </c>
      <c r="H371" s="116">
        <v>2000</v>
      </c>
      <c r="I371" s="116">
        <v>2700</v>
      </c>
      <c r="J371" s="116">
        <v>271</v>
      </c>
      <c r="K371" s="117">
        <v>1111</v>
      </c>
      <c r="L371" s="118" t="s">
        <v>375</v>
      </c>
      <c r="M371" s="119"/>
      <c r="N371" s="120" t="s">
        <v>56</v>
      </c>
      <c r="O371" s="120"/>
      <c r="P371" s="120"/>
    </row>
    <row r="372" spans="2:16" ht="18">
      <c r="B372" s="116">
        <v>2026</v>
      </c>
      <c r="C372" s="116">
        <v>21</v>
      </c>
      <c r="D372" s="169">
        <v>43</v>
      </c>
      <c r="E372" s="116">
        <v>2</v>
      </c>
      <c r="F372" s="116">
        <v>3</v>
      </c>
      <c r="G372" s="116">
        <v>12</v>
      </c>
      <c r="H372" s="116">
        <v>2000</v>
      </c>
      <c r="I372" s="116">
        <v>2700</v>
      </c>
      <c r="J372" s="116">
        <v>271</v>
      </c>
      <c r="K372" s="117">
        <v>1118</v>
      </c>
      <c r="L372" s="118" t="s">
        <v>376</v>
      </c>
      <c r="M372" s="119"/>
      <c r="N372" s="120" t="s">
        <v>56</v>
      </c>
      <c r="O372" s="120"/>
      <c r="P372" s="120"/>
    </row>
    <row r="373" spans="2:16" ht="18">
      <c r="B373" s="116">
        <v>2026</v>
      </c>
      <c r="C373" s="116">
        <v>21</v>
      </c>
      <c r="D373" s="169">
        <v>43</v>
      </c>
      <c r="E373" s="116">
        <v>2</v>
      </c>
      <c r="F373" s="116">
        <v>3</v>
      </c>
      <c r="G373" s="116">
        <v>12</v>
      </c>
      <c r="H373" s="116">
        <v>2000</v>
      </c>
      <c r="I373" s="116">
        <v>2700</v>
      </c>
      <c r="J373" s="116">
        <v>271</v>
      </c>
      <c r="K373" s="117">
        <v>1122</v>
      </c>
      <c r="L373" s="118" t="s">
        <v>377</v>
      </c>
      <c r="M373" s="119"/>
      <c r="N373" s="120" t="s">
        <v>56</v>
      </c>
      <c r="O373" s="120"/>
      <c r="P373" s="120"/>
    </row>
    <row r="374" spans="2:16" ht="18">
      <c r="B374" s="116">
        <v>2026</v>
      </c>
      <c r="C374" s="116">
        <v>21</v>
      </c>
      <c r="D374" s="169">
        <v>43</v>
      </c>
      <c r="E374" s="116">
        <v>2</v>
      </c>
      <c r="F374" s="116">
        <v>3</v>
      </c>
      <c r="G374" s="116">
        <v>12</v>
      </c>
      <c r="H374" s="116">
        <v>2000</v>
      </c>
      <c r="I374" s="116">
        <v>2700</v>
      </c>
      <c r="J374" s="116">
        <v>271</v>
      </c>
      <c r="K374" s="117">
        <v>1125</v>
      </c>
      <c r="L374" s="118" t="s">
        <v>378</v>
      </c>
      <c r="M374" s="119"/>
      <c r="N374" s="120" t="s">
        <v>56</v>
      </c>
      <c r="O374" s="120"/>
      <c r="P374" s="120"/>
    </row>
    <row r="375" spans="2:16" ht="18">
      <c r="B375" s="116">
        <v>2026</v>
      </c>
      <c r="C375" s="116">
        <v>21</v>
      </c>
      <c r="D375" s="169">
        <v>43</v>
      </c>
      <c r="E375" s="116">
        <v>2</v>
      </c>
      <c r="F375" s="116">
        <v>3</v>
      </c>
      <c r="G375" s="116">
        <v>12</v>
      </c>
      <c r="H375" s="116">
        <v>2000</v>
      </c>
      <c r="I375" s="116">
        <v>2700</v>
      </c>
      <c r="J375" s="116">
        <v>271</v>
      </c>
      <c r="K375" s="117">
        <v>1128</v>
      </c>
      <c r="L375" s="118" t="s">
        <v>379</v>
      </c>
      <c r="M375" s="119"/>
      <c r="N375" s="120" t="s">
        <v>56</v>
      </c>
      <c r="O375" s="120"/>
      <c r="P375" s="120"/>
    </row>
    <row r="376" spans="2:16" ht="18">
      <c r="B376" s="116">
        <v>2026</v>
      </c>
      <c r="C376" s="116">
        <v>21</v>
      </c>
      <c r="D376" s="169">
        <v>43</v>
      </c>
      <c r="E376" s="116">
        <v>2</v>
      </c>
      <c r="F376" s="116">
        <v>3</v>
      </c>
      <c r="G376" s="116">
        <v>12</v>
      </c>
      <c r="H376" s="116">
        <v>2000</v>
      </c>
      <c r="I376" s="116">
        <v>2700</v>
      </c>
      <c r="J376" s="116">
        <v>271</v>
      </c>
      <c r="K376" s="117">
        <v>1134</v>
      </c>
      <c r="L376" s="118" t="s">
        <v>380</v>
      </c>
      <c r="M376" s="119"/>
      <c r="N376" s="120" t="s">
        <v>56</v>
      </c>
      <c r="O376" s="120"/>
      <c r="P376" s="120"/>
    </row>
    <row r="377" spans="2:16" ht="18">
      <c r="B377" s="116">
        <v>2026</v>
      </c>
      <c r="C377" s="116">
        <v>21</v>
      </c>
      <c r="D377" s="169">
        <v>43</v>
      </c>
      <c r="E377" s="116">
        <v>2</v>
      </c>
      <c r="F377" s="116">
        <v>3</v>
      </c>
      <c r="G377" s="116">
        <v>12</v>
      </c>
      <c r="H377" s="116">
        <v>2000</v>
      </c>
      <c r="I377" s="116">
        <v>2700</v>
      </c>
      <c r="J377" s="116">
        <v>271</v>
      </c>
      <c r="K377" s="117">
        <v>1136</v>
      </c>
      <c r="L377" s="118" t="s">
        <v>381</v>
      </c>
      <c r="M377" s="119"/>
      <c r="N377" s="120" t="s">
        <v>56</v>
      </c>
      <c r="O377" s="120"/>
      <c r="P377" s="120"/>
    </row>
    <row r="378" spans="2:16" ht="18">
      <c r="B378" s="116">
        <v>2026</v>
      </c>
      <c r="C378" s="116">
        <v>21</v>
      </c>
      <c r="D378" s="169">
        <v>43</v>
      </c>
      <c r="E378" s="116">
        <v>2</v>
      </c>
      <c r="F378" s="116">
        <v>3</v>
      </c>
      <c r="G378" s="116">
        <v>12</v>
      </c>
      <c r="H378" s="116">
        <v>2000</v>
      </c>
      <c r="I378" s="116">
        <v>2700</v>
      </c>
      <c r="J378" s="116">
        <v>271</v>
      </c>
      <c r="K378" s="117">
        <v>1239</v>
      </c>
      <c r="L378" s="118" t="s">
        <v>382</v>
      </c>
      <c r="M378" s="119">
        <v>24600</v>
      </c>
      <c r="N378" s="120" t="s">
        <v>56</v>
      </c>
      <c r="O378" s="120">
        <v>41</v>
      </c>
      <c r="P378" s="120"/>
    </row>
    <row r="379" spans="2:16" ht="18">
      <c r="B379" s="116">
        <v>2026</v>
      </c>
      <c r="C379" s="116">
        <v>21</v>
      </c>
      <c r="D379" s="169">
        <v>43</v>
      </c>
      <c r="E379" s="116">
        <v>2</v>
      </c>
      <c r="F379" s="116">
        <v>3</v>
      </c>
      <c r="G379" s="116">
        <v>12</v>
      </c>
      <c r="H379" s="116">
        <v>2000</v>
      </c>
      <c r="I379" s="116">
        <v>2700</v>
      </c>
      <c r="J379" s="116">
        <v>271</v>
      </c>
      <c r="K379" s="117">
        <v>1296</v>
      </c>
      <c r="L379" s="118" t="s">
        <v>383</v>
      </c>
      <c r="M379" s="119"/>
      <c r="N379" s="120" t="s">
        <v>56</v>
      </c>
      <c r="O379" s="120"/>
      <c r="P379" s="120"/>
    </row>
    <row r="380" spans="2:16" ht="18">
      <c r="B380" s="116">
        <v>2026</v>
      </c>
      <c r="C380" s="116">
        <v>21</v>
      </c>
      <c r="D380" s="169">
        <v>43</v>
      </c>
      <c r="E380" s="116">
        <v>2</v>
      </c>
      <c r="F380" s="116">
        <v>3</v>
      </c>
      <c r="G380" s="116">
        <v>12</v>
      </c>
      <c r="H380" s="116">
        <v>2000</v>
      </c>
      <c r="I380" s="116">
        <v>2700</v>
      </c>
      <c r="J380" s="116">
        <v>271</v>
      </c>
      <c r="K380" s="117">
        <v>1300</v>
      </c>
      <c r="L380" s="118" t="s">
        <v>384</v>
      </c>
      <c r="M380" s="119"/>
      <c r="N380" s="120" t="s">
        <v>56</v>
      </c>
      <c r="O380" s="120"/>
      <c r="P380" s="120"/>
    </row>
    <row r="381" spans="2:16" ht="18">
      <c r="B381" s="116">
        <v>2026</v>
      </c>
      <c r="C381" s="116">
        <v>21</v>
      </c>
      <c r="D381" s="169">
        <v>43</v>
      </c>
      <c r="E381" s="116">
        <v>2</v>
      </c>
      <c r="F381" s="116">
        <v>3</v>
      </c>
      <c r="G381" s="116">
        <v>12</v>
      </c>
      <c r="H381" s="116">
        <v>2000</v>
      </c>
      <c r="I381" s="116">
        <v>2700</v>
      </c>
      <c r="J381" s="116">
        <v>271</v>
      </c>
      <c r="K381" s="117">
        <v>1410</v>
      </c>
      <c r="L381" s="118" t="s">
        <v>385</v>
      </c>
      <c r="M381" s="119"/>
      <c r="N381" s="120" t="s">
        <v>56</v>
      </c>
      <c r="O381" s="120"/>
      <c r="P381" s="120"/>
    </row>
    <row r="382" spans="2:16" ht="18">
      <c r="B382" s="116">
        <v>2026</v>
      </c>
      <c r="C382" s="116">
        <v>21</v>
      </c>
      <c r="D382" s="169">
        <v>43</v>
      </c>
      <c r="E382" s="116">
        <v>2</v>
      </c>
      <c r="F382" s="116">
        <v>3</v>
      </c>
      <c r="G382" s="116">
        <v>12</v>
      </c>
      <c r="H382" s="116">
        <v>2000</v>
      </c>
      <c r="I382" s="116">
        <v>2700</v>
      </c>
      <c r="J382" s="116">
        <v>271</v>
      </c>
      <c r="K382" s="117">
        <v>1434</v>
      </c>
      <c r="L382" s="118" t="s">
        <v>386</v>
      </c>
      <c r="M382" s="119"/>
      <c r="N382" s="120" t="s">
        <v>58</v>
      </c>
      <c r="O382" s="120"/>
      <c r="P382" s="120"/>
    </row>
    <row r="383" spans="2:16" ht="18">
      <c r="B383" s="116">
        <v>2026</v>
      </c>
      <c r="C383" s="116">
        <v>21</v>
      </c>
      <c r="D383" s="169">
        <v>43</v>
      </c>
      <c r="E383" s="116">
        <v>2</v>
      </c>
      <c r="F383" s="116">
        <v>3</v>
      </c>
      <c r="G383" s="116">
        <v>12</v>
      </c>
      <c r="H383" s="116">
        <v>2000</v>
      </c>
      <c r="I383" s="116">
        <v>2700</v>
      </c>
      <c r="J383" s="116">
        <v>271</v>
      </c>
      <c r="K383" s="117">
        <v>1448</v>
      </c>
      <c r="L383" s="118" t="s">
        <v>387</v>
      </c>
      <c r="M383" s="119"/>
      <c r="N383" s="120" t="s">
        <v>56</v>
      </c>
      <c r="O383" s="120"/>
      <c r="P383" s="120"/>
    </row>
    <row r="384" spans="2:16" ht="18">
      <c r="B384" s="116">
        <v>2026</v>
      </c>
      <c r="C384" s="116">
        <v>21</v>
      </c>
      <c r="D384" s="169">
        <v>43</v>
      </c>
      <c r="E384" s="116">
        <v>2</v>
      </c>
      <c r="F384" s="116">
        <v>3</v>
      </c>
      <c r="G384" s="116">
        <v>12</v>
      </c>
      <c r="H384" s="116">
        <v>2000</v>
      </c>
      <c r="I384" s="116">
        <v>2700</v>
      </c>
      <c r="J384" s="116">
        <v>271</v>
      </c>
      <c r="K384" s="117">
        <v>1462</v>
      </c>
      <c r="L384" s="118" t="s">
        <v>388</v>
      </c>
      <c r="M384" s="119">
        <v>410000</v>
      </c>
      <c r="N384" s="120" t="s">
        <v>56</v>
      </c>
      <c r="O384" s="120">
        <v>82</v>
      </c>
      <c r="P384" s="120"/>
    </row>
    <row r="385" spans="2:16" ht="18">
      <c r="B385" s="116">
        <v>2026</v>
      </c>
      <c r="C385" s="116">
        <v>21</v>
      </c>
      <c r="D385" s="169">
        <v>43</v>
      </c>
      <c r="E385" s="116">
        <v>2</v>
      </c>
      <c r="F385" s="116">
        <v>3</v>
      </c>
      <c r="G385" s="116">
        <v>12</v>
      </c>
      <c r="H385" s="116">
        <v>2000</v>
      </c>
      <c r="I385" s="116">
        <v>2700</v>
      </c>
      <c r="J385" s="116">
        <v>271</v>
      </c>
      <c r="K385" s="117">
        <v>1465</v>
      </c>
      <c r="L385" s="118" t="s">
        <v>389</v>
      </c>
      <c r="M385" s="119"/>
      <c r="N385" s="120" t="s">
        <v>56</v>
      </c>
      <c r="O385" s="120"/>
      <c r="P385" s="120"/>
    </row>
    <row r="386" spans="2:16" ht="18">
      <c r="B386" s="116">
        <v>2026</v>
      </c>
      <c r="C386" s="116">
        <v>21</v>
      </c>
      <c r="D386" s="169">
        <v>43</v>
      </c>
      <c r="E386" s="116">
        <v>2</v>
      </c>
      <c r="F386" s="116">
        <v>3</v>
      </c>
      <c r="G386" s="116">
        <v>12</v>
      </c>
      <c r="H386" s="116">
        <v>2000</v>
      </c>
      <c r="I386" s="116">
        <v>2700</v>
      </c>
      <c r="J386" s="116">
        <v>271</v>
      </c>
      <c r="K386" s="117">
        <v>1516</v>
      </c>
      <c r="L386" s="118" t="s">
        <v>390</v>
      </c>
      <c r="M386" s="119">
        <v>57400</v>
      </c>
      <c r="N386" s="120" t="s">
        <v>58</v>
      </c>
      <c r="O386" s="120">
        <v>82</v>
      </c>
      <c r="P386" s="120"/>
    </row>
    <row r="387" spans="2:16" ht="18">
      <c r="B387" s="110">
        <v>2026</v>
      </c>
      <c r="C387" s="110">
        <v>21</v>
      </c>
      <c r="D387" s="168">
        <v>43</v>
      </c>
      <c r="E387" s="110">
        <v>2</v>
      </c>
      <c r="F387" s="110">
        <v>3</v>
      </c>
      <c r="G387" s="110">
        <v>12</v>
      </c>
      <c r="H387" s="110">
        <v>2000</v>
      </c>
      <c r="I387" s="110">
        <v>2700</v>
      </c>
      <c r="J387" s="110">
        <v>272</v>
      </c>
      <c r="K387" s="110"/>
      <c r="L387" s="123" t="s">
        <v>83</v>
      </c>
      <c r="M387" s="112">
        <f>SUBTOTAL(9,M388:M389)</f>
        <v>0</v>
      </c>
      <c r="N387" s="113"/>
      <c r="O387" s="113"/>
      <c r="P387" s="113"/>
    </row>
    <row r="388" spans="2:16" ht="18">
      <c r="B388" s="116">
        <v>2026</v>
      </c>
      <c r="C388" s="116">
        <v>21</v>
      </c>
      <c r="D388" s="169">
        <v>43</v>
      </c>
      <c r="E388" s="116">
        <v>2</v>
      </c>
      <c r="F388" s="116">
        <v>3</v>
      </c>
      <c r="G388" s="116">
        <v>12</v>
      </c>
      <c r="H388" s="116">
        <v>2000</v>
      </c>
      <c r="I388" s="116">
        <v>2700</v>
      </c>
      <c r="J388" s="116">
        <v>272</v>
      </c>
      <c r="K388" s="117">
        <v>675</v>
      </c>
      <c r="L388" s="118" t="s">
        <v>391</v>
      </c>
      <c r="M388" s="119"/>
      <c r="N388" s="120" t="s">
        <v>56</v>
      </c>
      <c r="O388" s="120"/>
      <c r="P388" s="120"/>
    </row>
    <row r="389" spans="2:16" ht="18">
      <c r="B389" s="116">
        <v>2026</v>
      </c>
      <c r="C389" s="116">
        <v>21</v>
      </c>
      <c r="D389" s="169">
        <v>43</v>
      </c>
      <c r="E389" s="116">
        <v>2</v>
      </c>
      <c r="F389" s="116">
        <v>3</v>
      </c>
      <c r="G389" s="116">
        <v>12</v>
      </c>
      <c r="H389" s="116">
        <v>2000</v>
      </c>
      <c r="I389" s="116">
        <v>2700</v>
      </c>
      <c r="J389" s="116">
        <v>272</v>
      </c>
      <c r="K389" s="117">
        <v>684</v>
      </c>
      <c r="L389" s="118" t="s">
        <v>392</v>
      </c>
      <c r="M389" s="119"/>
      <c r="N389" s="120" t="s">
        <v>56</v>
      </c>
      <c r="O389" s="120"/>
      <c r="P389" s="120"/>
    </row>
    <row r="390" spans="2:16" ht="18">
      <c r="B390" s="110">
        <v>2026</v>
      </c>
      <c r="C390" s="110">
        <v>21</v>
      </c>
      <c r="D390" s="168">
        <v>43</v>
      </c>
      <c r="E390" s="110">
        <v>2</v>
      </c>
      <c r="F390" s="110">
        <v>3</v>
      </c>
      <c r="G390" s="110">
        <v>12</v>
      </c>
      <c r="H390" s="110">
        <v>2000</v>
      </c>
      <c r="I390" s="110">
        <v>2700</v>
      </c>
      <c r="J390" s="110">
        <v>275</v>
      </c>
      <c r="K390" s="110"/>
      <c r="L390" s="123" t="s">
        <v>393</v>
      </c>
      <c r="M390" s="112">
        <f>SUBTOTAL(9,M391:M392)</f>
        <v>0</v>
      </c>
      <c r="N390" s="113"/>
      <c r="O390" s="113"/>
      <c r="P390" s="113"/>
    </row>
    <row r="391" spans="2:16" ht="18">
      <c r="B391" s="116">
        <v>2026</v>
      </c>
      <c r="C391" s="116">
        <v>21</v>
      </c>
      <c r="D391" s="169">
        <v>43</v>
      </c>
      <c r="E391" s="116">
        <v>2</v>
      </c>
      <c r="F391" s="116">
        <v>3</v>
      </c>
      <c r="G391" s="116">
        <v>12</v>
      </c>
      <c r="H391" s="116">
        <v>2000</v>
      </c>
      <c r="I391" s="116">
        <v>2700</v>
      </c>
      <c r="J391" s="116">
        <v>275</v>
      </c>
      <c r="K391" s="117">
        <v>1521</v>
      </c>
      <c r="L391" s="118" t="s">
        <v>394</v>
      </c>
      <c r="M391" s="119"/>
      <c r="N391" s="145" t="s">
        <v>368</v>
      </c>
      <c r="O391" s="145"/>
      <c r="P391" s="145"/>
    </row>
    <row r="392" spans="2:16" ht="18">
      <c r="B392" s="116">
        <v>2026</v>
      </c>
      <c r="C392" s="116">
        <v>21</v>
      </c>
      <c r="D392" s="169">
        <v>43</v>
      </c>
      <c r="E392" s="116">
        <v>2</v>
      </c>
      <c r="F392" s="116">
        <v>3</v>
      </c>
      <c r="G392" s="116">
        <v>12</v>
      </c>
      <c r="H392" s="116">
        <v>2000</v>
      </c>
      <c r="I392" s="116">
        <v>2700</v>
      </c>
      <c r="J392" s="116">
        <v>275</v>
      </c>
      <c r="K392" s="117">
        <v>1522</v>
      </c>
      <c r="L392" s="118" t="s">
        <v>395</v>
      </c>
      <c r="M392" s="119"/>
      <c r="N392" s="120" t="s">
        <v>56</v>
      </c>
      <c r="O392" s="120"/>
      <c r="P392" s="120"/>
    </row>
    <row r="393" spans="2:16" ht="18">
      <c r="B393" s="103">
        <v>2026</v>
      </c>
      <c r="C393" s="103">
        <v>21</v>
      </c>
      <c r="D393" s="167">
        <v>43</v>
      </c>
      <c r="E393" s="103">
        <v>2</v>
      </c>
      <c r="F393" s="103">
        <v>3</v>
      </c>
      <c r="G393" s="103">
        <v>12</v>
      </c>
      <c r="H393" s="103">
        <v>2000</v>
      </c>
      <c r="I393" s="103">
        <v>2800</v>
      </c>
      <c r="J393" s="103"/>
      <c r="K393" s="103"/>
      <c r="L393" s="105" t="s">
        <v>93</v>
      </c>
      <c r="M393" s="106">
        <f>+M394+M402</f>
        <v>30750</v>
      </c>
      <c r="N393" s="107"/>
      <c r="O393" s="107"/>
      <c r="P393" s="107"/>
    </row>
    <row r="394" spans="2:16" ht="18">
      <c r="B394" s="110">
        <v>2026</v>
      </c>
      <c r="C394" s="110">
        <v>21</v>
      </c>
      <c r="D394" s="168">
        <v>43</v>
      </c>
      <c r="E394" s="110">
        <v>2</v>
      </c>
      <c r="F394" s="110">
        <v>3</v>
      </c>
      <c r="G394" s="110">
        <v>12</v>
      </c>
      <c r="H394" s="110">
        <v>2000</v>
      </c>
      <c r="I394" s="110">
        <v>2800</v>
      </c>
      <c r="J394" s="110">
        <v>282</v>
      </c>
      <c r="K394" s="110"/>
      <c r="L394" s="123" t="s">
        <v>94</v>
      </c>
      <c r="M394" s="112">
        <f>SUBTOTAL(9,M395:M401)</f>
        <v>0</v>
      </c>
      <c r="N394" s="113"/>
      <c r="O394" s="113"/>
      <c r="P394" s="113"/>
    </row>
    <row r="395" spans="2:16" ht="18">
      <c r="B395" s="116">
        <v>2026</v>
      </c>
      <c r="C395" s="116">
        <v>21</v>
      </c>
      <c r="D395" s="169">
        <v>43</v>
      </c>
      <c r="E395" s="116">
        <v>2</v>
      </c>
      <c r="F395" s="116">
        <v>3</v>
      </c>
      <c r="G395" s="116">
        <v>12</v>
      </c>
      <c r="H395" s="116">
        <v>2000</v>
      </c>
      <c r="I395" s="116">
        <v>2800</v>
      </c>
      <c r="J395" s="116">
        <v>282</v>
      </c>
      <c r="K395" s="117">
        <v>251</v>
      </c>
      <c r="L395" s="118" t="s">
        <v>396</v>
      </c>
      <c r="M395" s="119"/>
      <c r="N395" s="120" t="s">
        <v>56</v>
      </c>
      <c r="O395" s="120"/>
      <c r="P395" s="120"/>
    </row>
    <row r="396" spans="2:16" ht="18">
      <c r="B396" s="116">
        <v>2026</v>
      </c>
      <c r="C396" s="116">
        <v>21</v>
      </c>
      <c r="D396" s="169">
        <v>43</v>
      </c>
      <c r="E396" s="116">
        <v>2</v>
      </c>
      <c r="F396" s="116">
        <v>3</v>
      </c>
      <c r="G396" s="116">
        <v>12</v>
      </c>
      <c r="H396" s="116">
        <v>2000</v>
      </c>
      <c r="I396" s="116">
        <v>2800</v>
      </c>
      <c r="J396" s="116">
        <v>282</v>
      </c>
      <c r="K396" s="117">
        <v>254</v>
      </c>
      <c r="L396" s="118" t="s">
        <v>397</v>
      </c>
      <c r="M396" s="119"/>
      <c r="N396" s="120" t="s">
        <v>56</v>
      </c>
      <c r="O396" s="120"/>
      <c r="P396" s="120"/>
    </row>
    <row r="397" spans="2:16" ht="18">
      <c r="B397" s="116">
        <v>2026</v>
      </c>
      <c r="C397" s="116">
        <v>21</v>
      </c>
      <c r="D397" s="169">
        <v>43</v>
      </c>
      <c r="E397" s="116">
        <v>2</v>
      </c>
      <c r="F397" s="116">
        <v>3</v>
      </c>
      <c r="G397" s="116">
        <v>12</v>
      </c>
      <c r="H397" s="116">
        <v>2000</v>
      </c>
      <c r="I397" s="116">
        <v>2800</v>
      </c>
      <c r="J397" s="116">
        <v>282</v>
      </c>
      <c r="K397" s="117">
        <v>271</v>
      </c>
      <c r="L397" s="118" t="s">
        <v>398</v>
      </c>
      <c r="M397" s="119"/>
      <c r="N397" s="120" t="s">
        <v>99</v>
      </c>
      <c r="O397" s="120"/>
      <c r="P397" s="120"/>
    </row>
    <row r="398" spans="2:16" ht="18">
      <c r="B398" s="116">
        <v>2026</v>
      </c>
      <c r="C398" s="116">
        <v>21</v>
      </c>
      <c r="D398" s="169">
        <v>43</v>
      </c>
      <c r="E398" s="116">
        <v>2</v>
      </c>
      <c r="F398" s="116">
        <v>3</v>
      </c>
      <c r="G398" s="116">
        <v>12</v>
      </c>
      <c r="H398" s="116">
        <v>2000</v>
      </c>
      <c r="I398" s="116">
        <v>2800</v>
      </c>
      <c r="J398" s="116">
        <v>282</v>
      </c>
      <c r="K398" s="117">
        <v>275</v>
      </c>
      <c r="L398" s="118" t="s">
        <v>399</v>
      </c>
      <c r="M398" s="119"/>
      <c r="N398" s="120" t="s">
        <v>99</v>
      </c>
      <c r="O398" s="120"/>
      <c r="P398" s="120"/>
    </row>
    <row r="399" spans="2:16" ht="18">
      <c r="B399" s="116">
        <v>2026</v>
      </c>
      <c r="C399" s="116">
        <v>21</v>
      </c>
      <c r="D399" s="169">
        <v>43</v>
      </c>
      <c r="E399" s="116">
        <v>2</v>
      </c>
      <c r="F399" s="116">
        <v>3</v>
      </c>
      <c r="G399" s="116">
        <v>12</v>
      </c>
      <c r="H399" s="116">
        <v>2000</v>
      </c>
      <c r="I399" s="116">
        <v>2800</v>
      </c>
      <c r="J399" s="116">
        <v>282</v>
      </c>
      <c r="K399" s="117">
        <v>697</v>
      </c>
      <c r="L399" s="118" t="s">
        <v>400</v>
      </c>
      <c r="M399" s="119"/>
      <c r="N399" s="120" t="s">
        <v>56</v>
      </c>
      <c r="O399" s="120"/>
      <c r="P399" s="120"/>
    </row>
    <row r="400" spans="2:16" ht="18">
      <c r="B400" s="116">
        <v>2026</v>
      </c>
      <c r="C400" s="116">
        <v>21</v>
      </c>
      <c r="D400" s="169">
        <v>43</v>
      </c>
      <c r="E400" s="116">
        <v>2</v>
      </c>
      <c r="F400" s="116">
        <v>3</v>
      </c>
      <c r="G400" s="116">
        <v>12</v>
      </c>
      <c r="H400" s="116">
        <v>2000</v>
      </c>
      <c r="I400" s="116">
        <v>2800</v>
      </c>
      <c r="J400" s="116">
        <v>282</v>
      </c>
      <c r="K400" s="117">
        <v>699</v>
      </c>
      <c r="L400" s="118" t="s">
        <v>401</v>
      </c>
      <c r="M400" s="119"/>
      <c r="N400" s="120" t="s">
        <v>56</v>
      </c>
      <c r="O400" s="120"/>
      <c r="P400" s="120"/>
    </row>
    <row r="401" spans="2:16" ht="18">
      <c r="B401" s="116">
        <v>2026</v>
      </c>
      <c r="C401" s="116">
        <v>21</v>
      </c>
      <c r="D401" s="169">
        <v>43</v>
      </c>
      <c r="E401" s="116">
        <v>2</v>
      </c>
      <c r="F401" s="116">
        <v>3</v>
      </c>
      <c r="G401" s="116">
        <v>12</v>
      </c>
      <c r="H401" s="116">
        <v>2000</v>
      </c>
      <c r="I401" s="116">
        <v>2800</v>
      </c>
      <c r="J401" s="116">
        <v>282</v>
      </c>
      <c r="K401" s="117">
        <v>726</v>
      </c>
      <c r="L401" s="118" t="s">
        <v>402</v>
      </c>
      <c r="M401" s="119"/>
      <c r="N401" s="120" t="s">
        <v>56</v>
      </c>
      <c r="O401" s="120"/>
      <c r="P401" s="120"/>
    </row>
    <row r="402" spans="2:16" ht="18">
      <c r="B402" s="110">
        <v>2026</v>
      </c>
      <c r="C402" s="110">
        <v>21</v>
      </c>
      <c r="D402" s="168">
        <v>43</v>
      </c>
      <c r="E402" s="110">
        <v>2</v>
      </c>
      <c r="F402" s="110">
        <v>3</v>
      </c>
      <c r="G402" s="110">
        <v>12</v>
      </c>
      <c r="H402" s="110">
        <v>2000</v>
      </c>
      <c r="I402" s="110">
        <v>2800</v>
      </c>
      <c r="J402" s="110">
        <v>283</v>
      </c>
      <c r="K402" s="110"/>
      <c r="L402" s="123" t="s">
        <v>102</v>
      </c>
      <c r="M402" s="112">
        <f>SUBTOTAL(9,M403:M435)</f>
        <v>30750</v>
      </c>
      <c r="N402" s="113"/>
      <c r="O402" s="113"/>
      <c r="P402" s="113"/>
    </row>
    <row r="403" spans="2:16" ht="18">
      <c r="B403" s="116">
        <v>2026</v>
      </c>
      <c r="C403" s="116">
        <v>21</v>
      </c>
      <c r="D403" s="169">
        <v>43</v>
      </c>
      <c r="E403" s="116">
        <v>2</v>
      </c>
      <c r="F403" s="116">
        <v>3</v>
      </c>
      <c r="G403" s="116">
        <v>12</v>
      </c>
      <c r="H403" s="116">
        <v>2000</v>
      </c>
      <c r="I403" s="116">
        <v>2800</v>
      </c>
      <c r="J403" s="116">
        <v>283</v>
      </c>
      <c r="K403" s="117">
        <v>73</v>
      </c>
      <c r="L403" s="118" t="s">
        <v>403</v>
      </c>
      <c r="M403" s="119"/>
      <c r="N403" s="120" t="s">
        <v>56</v>
      </c>
      <c r="O403" s="120"/>
      <c r="P403" s="120"/>
    </row>
    <row r="404" spans="2:16" ht="18">
      <c r="B404" s="116">
        <v>2026</v>
      </c>
      <c r="C404" s="116">
        <v>21</v>
      </c>
      <c r="D404" s="169">
        <v>43</v>
      </c>
      <c r="E404" s="116">
        <v>2</v>
      </c>
      <c r="F404" s="116">
        <v>3</v>
      </c>
      <c r="G404" s="116">
        <v>12</v>
      </c>
      <c r="H404" s="116">
        <v>2000</v>
      </c>
      <c r="I404" s="116">
        <v>2800</v>
      </c>
      <c r="J404" s="116">
        <v>283</v>
      </c>
      <c r="K404" s="117">
        <v>115</v>
      </c>
      <c r="L404" s="118" t="s">
        <v>404</v>
      </c>
      <c r="M404" s="119"/>
      <c r="N404" s="120" t="s">
        <v>56</v>
      </c>
      <c r="O404" s="120"/>
      <c r="P404" s="120"/>
    </row>
    <row r="405" spans="2:16" ht="18">
      <c r="B405" s="116">
        <v>2026</v>
      </c>
      <c r="C405" s="116">
        <v>21</v>
      </c>
      <c r="D405" s="169">
        <v>43</v>
      </c>
      <c r="E405" s="116">
        <v>2</v>
      </c>
      <c r="F405" s="116">
        <v>3</v>
      </c>
      <c r="G405" s="116">
        <v>12</v>
      </c>
      <c r="H405" s="116">
        <v>2000</v>
      </c>
      <c r="I405" s="116">
        <v>2800</v>
      </c>
      <c r="J405" s="116">
        <v>283</v>
      </c>
      <c r="K405" s="117">
        <v>119</v>
      </c>
      <c r="L405" s="118" t="s">
        <v>405</v>
      </c>
      <c r="M405" s="119"/>
      <c r="N405" s="120" t="s">
        <v>56</v>
      </c>
      <c r="O405" s="120"/>
      <c r="P405" s="120"/>
    </row>
    <row r="406" spans="2:16" ht="18">
      <c r="B406" s="116">
        <v>2026</v>
      </c>
      <c r="C406" s="116">
        <v>21</v>
      </c>
      <c r="D406" s="169">
        <v>43</v>
      </c>
      <c r="E406" s="116">
        <v>2</v>
      </c>
      <c r="F406" s="116">
        <v>3</v>
      </c>
      <c r="G406" s="116">
        <v>12</v>
      </c>
      <c r="H406" s="116">
        <v>2000</v>
      </c>
      <c r="I406" s="116">
        <v>2800</v>
      </c>
      <c r="J406" s="116">
        <v>283</v>
      </c>
      <c r="K406" s="117">
        <v>239</v>
      </c>
      <c r="L406" s="118" t="s">
        <v>406</v>
      </c>
      <c r="M406" s="119"/>
      <c r="N406" s="120" t="s">
        <v>56</v>
      </c>
      <c r="O406" s="120"/>
      <c r="P406" s="120"/>
    </row>
    <row r="407" spans="2:16" ht="18">
      <c r="B407" s="116">
        <v>2026</v>
      </c>
      <c r="C407" s="116">
        <v>21</v>
      </c>
      <c r="D407" s="169">
        <v>43</v>
      </c>
      <c r="E407" s="116">
        <v>2</v>
      </c>
      <c r="F407" s="116">
        <v>3</v>
      </c>
      <c r="G407" s="116">
        <v>12</v>
      </c>
      <c r="H407" s="116">
        <v>2000</v>
      </c>
      <c r="I407" s="116">
        <v>2800</v>
      </c>
      <c r="J407" s="116">
        <v>283</v>
      </c>
      <c r="K407" s="117">
        <v>243</v>
      </c>
      <c r="L407" s="118" t="s">
        <v>407</v>
      </c>
      <c r="M407" s="119"/>
      <c r="N407" s="120" t="s">
        <v>56</v>
      </c>
      <c r="O407" s="120"/>
      <c r="P407" s="120"/>
    </row>
    <row r="408" spans="2:16" ht="18">
      <c r="B408" s="116">
        <v>2026</v>
      </c>
      <c r="C408" s="116">
        <v>21</v>
      </c>
      <c r="D408" s="169">
        <v>43</v>
      </c>
      <c r="E408" s="116">
        <v>2</v>
      </c>
      <c r="F408" s="116">
        <v>3</v>
      </c>
      <c r="G408" s="116">
        <v>12</v>
      </c>
      <c r="H408" s="116">
        <v>2000</v>
      </c>
      <c r="I408" s="116">
        <v>2800</v>
      </c>
      <c r="J408" s="116">
        <v>283</v>
      </c>
      <c r="K408" s="117">
        <v>281</v>
      </c>
      <c r="L408" s="118" t="s">
        <v>408</v>
      </c>
      <c r="M408" s="119"/>
      <c r="N408" s="120" t="s">
        <v>56</v>
      </c>
      <c r="O408" s="120"/>
      <c r="P408" s="120"/>
    </row>
    <row r="409" spans="2:16" ht="18">
      <c r="B409" s="116">
        <v>2026</v>
      </c>
      <c r="C409" s="116">
        <v>21</v>
      </c>
      <c r="D409" s="169">
        <v>43</v>
      </c>
      <c r="E409" s="116">
        <v>2</v>
      </c>
      <c r="F409" s="116">
        <v>3</v>
      </c>
      <c r="G409" s="116">
        <v>12</v>
      </c>
      <c r="H409" s="116">
        <v>2000</v>
      </c>
      <c r="I409" s="116">
        <v>2800</v>
      </c>
      <c r="J409" s="116">
        <v>283</v>
      </c>
      <c r="K409" s="117">
        <v>284</v>
      </c>
      <c r="L409" s="118" t="s">
        <v>409</v>
      </c>
      <c r="M409" s="119"/>
      <c r="N409" s="120" t="s">
        <v>56</v>
      </c>
      <c r="O409" s="120"/>
      <c r="P409" s="120"/>
    </row>
    <row r="410" spans="2:16" ht="18">
      <c r="B410" s="116">
        <v>2026</v>
      </c>
      <c r="C410" s="116">
        <v>21</v>
      </c>
      <c r="D410" s="169">
        <v>43</v>
      </c>
      <c r="E410" s="116">
        <v>2</v>
      </c>
      <c r="F410" s="116">
        <v>3</v>
      </c>
      <c r="G410" s="116">
        <v>12</v>
      </c>
      <c r="H410" s="116">
        <v>2000</v>
      </c>
      <c r="I410" s="116">
        <v>2800</v>
      </c>
      <c r="J410" s="116">
        <v>283</v>
      </c>
      <c r="K410" s="117">
        <v>286</v>
      </c>
      <c r="L410" s="118" t="s">
        <v>410</v>
      </c>
      <c r="M410" s="119"/>
      <c r="N410" s="120" t="s">
        <v>56</v>
      </c>
      <c r="O410" s="120"/>
      <c r="P410" s="120"/>
    </row>
    <row r="411" spans="2:16" ht="18">
      <c r="B411" s="116">
        <v>2026</v>
      </c>
      <c r="C411" s="116">
        <v>21</v>
      </c>
      <c r="D411" s="169">
        <v>43</v>
      </c>
      <c r="E411" s="116">
        <v>2</v>
      </c>
      <c r="F411" s="116">
        <v>3</v>
      </c>
      <c r="G411" s="116">
        <v>12</v>
      </c>
      <c r="H411" s="116">
        <v>2000</v>
      </c>
      <c r="I411" s="116">
        <v>2800</v>
      </c>
      <c r="J411" s="116">
        <v>283</v>
      </c>
      <c r="K411" s="117">
        <v>288</v>
      </c>
      <c r="L411" s="118" t="s">
        <v>411</v>
      </c>
      <c r="M411" s="119"/>
      <c r="N411" s="120" t="s">
        <v>56</v>
      </c>
      <c r="O411" s="120"/>
      <c r="P411" s="120"/>
    </row>
    <row r="412" spans="2:16" ht="18">
      <c r="B412" s="116">
        <v>2026</v>
      </c>
      <c r="C412" s="116">
        <v>21</v>
      </c>
      <c r="D412" s="169">
        <v>43</v>
      </c>
      <c r="E412" s="116">
        <v>2</v>
      </c>
      <c r="F412" s="116">
        <v>3</v>
      </c>
      <c r="G412" s="116">
        <v>12</v>
      </c>
      <c r="H412" s="116">
        <v>2000</v>
      </c>
      <c r="I412" s="116">
        <v>2800</v>
      </c>
      <c r="J412" s="116">
        <v>283</v>
      </c>
      <c r="K412" s="117">
        <v>301</v>
      </c>
      <c r="L412" s="118" t="s">
        <v>412</v>
      </c>
      <c r="M412" s="119"/>
      <c r="N412" s="120" t="s">
        <v>56</v>
      </c>
      <c r="O412" s="120"/>
      <c r="P412" s="120"/>
    </row>
    <row r="413" spans="2:16" ht="18">
      <c r="B413" s="116">
        <v>2026</v>
      </c>
      <c r="C413" s="116">
        <v>21</v>
      </c>
      <c r="D413" s="169">
        <v>43</v>
      </c>
      <c r="E413" s="116">
        <v>2</v>
      </c>
      <c r="F413" s="116">
        <v>3</v>
      </c>
      <c r="G413" s="116">
        <v>12</v>
      </c>
      <c r="H413" s="116">
        <v>2000</v>
      </c>
      <c r="I413" s="116">
        <v>2800</v>
      </c>
      <c r="J413" s="116">
        <v>283</v>
      </c>
      <c r="K413" s="117">
        <v>311</v>
      </c>
      <c r="L413" s="118" t="s">
        <v>413</v>
      </c>
      <c r="M413" s="119"/>
      <c r="N413" s="120" t="s">
        <v>56</v>
      </c>
      <c r="O413" s="120"/>
      <c r="P413" s="120"/>
    </row>
    <row r="414" spans="2:16" ht="36">
      <c r="B414" s="116">
        <v>2026</v>
      </c>
      <c r="C414" s="116">
        <v>21</v>
      </c>
      <c r="D414" s="169">
        <v>43</v>
      </c>
      <c r="E414" s="116">
        <v>2</v>
      </c>
      <c r="F414" s="116">
        <v>3</v>
      </c>
      <c r="G414" s="116">
        <v>12</v>
      </c>
      <c r="H414" s="116">
        <v>2000</v>
      </c>
      <c r="I414" s="116">
        <v>2800</v>
      </c>
      <c r="J414" s="116">
        <v>283</v>
      </c>
      <c r="K414" s="117">
        <v>307</v>
      </c>
      <c r="L414" s="118" t="s">
        <v>414</v>
      </c>
      <c r="M414" s="119"/>
      <c r="N414" s="120" t="s">
        <v>56</v>
      </c>
      <c r="O414" s="120"/>
      <c r="P414" s="120"/>
    </row>
    <row r="415" spans="2:16" ht="18">
      <c r="B415" s="116">
        <v>2026</v>
      </c>
      <c r="C415" s="116">
        <v>21</v>
      </c>
      <c r="D415" s="169">
        <v>43</v>
      </c>
      <c r="E415" s="116">
        <v>2</v>
      </c>
      <c r="F415" s="116">
        <v>3</v>
      </c>
      <c r="G415" s="116">
        <v>12</v>
      </c>
      <c r="H415" s="116">
        <v>2000</v>
      </c>
      <c r="I415" s="116">
        <v>2800</v>
      </c>
      <c r="J415" s="116">
        <v>283</v>
      </c>
      <c r="K415" s="117">
        <v>350</v>
      </c>
      <c r="L415" s="118" t="s">
        <v>415</v>
      </c>
      <c r="M415" s="119"/>
      <c r="N415" s="120" t="s">
        <v>58</v>
      </c>
      <c r="O415" s="120"/>
      <c r="P415" s="120"/>
    </row>
    <row r="416" spans="2:16" ht="18">
      <c r="B416" s="116">
        <v>2026</v>
      </c>
      <c r="C416" s="116">
        <v>21</v>
      </c>
      <c r="D416" s="169">
        <v>43</v>
      </c>
      <c r="E416" s="116">
        <v>2</v>
      </c>
      <c r="F416" s="116">
        <v>3</v>
      </c>
      <c r="G416" s="116">
        <v>12</v>
      </c>
      <c r="H416" s="116">
        <v>2000</v>
      </c>
      <c r="I416" s="116">
        <v>2800</v>
      </c>
      <c r="J416" s="116">
        <v>283</v>
      </c>
      <c r="K416" s="117">
        <v>353</v>
      </c>
      <c r="L416" s="118" t="s">
        <v>416</v>
      </c>
      <c r="M416" s="119"/>
      <c r="N416" s="120" t="s">
        <v>58</v>
      </c>
      <c r="O416" s="120"/>
      <c r="P416" s="120"/>
    </row>
    <row r="417" spans="2:16" ht="18">
      <c r="B417" s="116">
        <v>2026</v>
      </c>
      <c r="C417" s="116">
        <v>21</v>
      </c>
      <c r="D417" s="169">
        <v>43</v>
      </c>
      <c r="E417" s="116">
        <v>2</v>
      </c>
      <c r="F417" s="116">
        <v>3</v>
      </c>
      <c r="G417" s="116">
        <v>12</v>
      </c>
      <c r="H417" s="116">
        <v>2000</v>
      </c>
      <c r="I417" s="116">
        <v>2800</v>
      </c>
      <c r="J417" s="116">
        <v>283</v>
      </c>
      <c r="K417" s="117">
        <v>348</v>
      </c>
      <c r="L417" s="118" t="s">
        <v>417</v>
      </c>
      <c r="M417" s="119"/>
      <c r="N417" s="120" t="s">
        <v>58</v>
      </c>
      <c r="O417" s="120"/>
      <c r="P417" s="120"/>
    </row>
    <row r="418" spans="2:16" ht="18">
      <c r="B418" s="116">
        <v>2026</v>
      </c>
      <c r="C418" s="116">
        <v>21</v>
      </c>
      <c r="D418" s="169">
        <v>43</v>
      </c>
      <c r="E418" s="116">
        <v>2</v>
      </c>
      <c r="F418" s="116">
        <v>3</v>
      </c>
      <c r="G418" s="116">
        <v>12</v>
      </c>
      <c r="H418" s="116">
        <v>2000</v>
      </c>
      <c r="I418" s="116">
        <v>2800</v>
      </c>
      <c r="J418" s="116">
        <v>283</v>
      </c>
      <c r="K418" s="117">
        <v>417</v>
      </c>
      <c r="L418" s="118" t="s">
        <v>418</v>
      </c>
      <c r="M418" s="119"/>
      <c r="N418" s="144" t="s">
        <v>368</v>
      </c>
      <c r="O418" s="144"/>
      <c r="P418" s="144"/>
    </row>
    <row r="419" spans="2:16" ht="18">
      <c r="B419" s="116">
        <v>2026</v>
      </c>
      <c r="C419" s="116">
        <v>21</v>
      </c>
      <c r="D419" s="169">
        <v>43</v>
      </c>
      <c r="E419" s="116">
        <v>2</v>
      </c>
      <c r="F419" s="116">
        <v>3</v>
      </c>
      <c r="G419" s="116">
        <v>12</v>
      </c>
      <c r="H419" s="116">
        <v>2000</v>
      </c>
      <c r="I419" s="116">
        <v>2800</v>
      </c>
      <c r="J419" s="116">
        <v>283</v>
      </c>
      <c r="K419" s="117">
        <v>470</v>
      </c>
      <c r="L419" s="118" t="s">
        <v>419</v>
      </c>
      <c r="M419" s="119"/>
      <c r="N419" s="120" t="s">
        <v>56</v>
      </c>
      <c r="O419" s="120"/>
      <c r="P419" s="120"/>
    </row>
    <row r="420" spans="2:16" ht="18">
      <c r="B420" s="116">
        <v>2026</v>
      </c>
      <c r="C420" s="116">
        <v>21</v>
      </c>
      <c r="D420" s="169">
        <v>43</v>
      </c>
      <c r="E420" s="116">
        <v>2</v>
      </c>
      <c r="F420" s="116">
        <v>3</v>
      </c>
      <c r="G420" s="116">
        <v>12</v>
      </c>
      <c r="H420" s="116">
        <v>2000</v>
      </c>
      <c r="I420" s="116">
        <v>2800</v>
      </c>
      <c r="J420" s="116">
        <v>283</v>
      </c>
      <c r="K420" s="117">
        <v>522</v>
      </c>
      <c r="L420" s="118" t="s">
        <v>420</v>
      </c>
      <c r="M420" s="119"/>
      <c r="N420" s="144" t="s">
        <v>368</v>
      </c>
      <c r="O420" s="144"/>
      <c r="P420" s="144"/>
    </row>
    <row r="421" spans="2:16" ht="18">
      <c r="B421" s="116">
        <v>2026</v>
      </c>
      <c r="C421" s="116">
        <v>21</v>
      </c>
      <c r="D421" s="169">
        <v>43</v>
      </c>
      <c r="E421" s="116">
        <v>2</v>
      </c>
      <c r="F421" s="116">
        <v>3</v>
      </c>
      <c r="G421" s="116">
        <v>12</v>
      </c>
      <c r="H421" s="116">
        <v>2000</v>
      </c>
      <c r="I421" s="116">
        <v>2800</v>
      </c>
      <c r="J421" s="116">
        <v>283</v>
      </c>
      <c r="K421" s="117">
        <v>607</v>
      </c>
      <c r="L421" s="118" t="s">
        <v>421</v>
      </c>
      <c r="M421" s="119"/>
      <c r="N421" s="120" t="s">
        <v>56</v>
      </c>
      <c r="O421" s="120"/>
      <c r="P421" s="120"/>
    </row>
    <row r="422" spans="2:16" ht="18">
      <c r="B422" s="116">
        <v>2026</v>
      </c>
      <c r="C422" s="116">
        <v>21</v>
      </c>
      <c r="D422" s="169">
        <v>43</v>
      </c>
      <c r="E422" s="116">
        <v>2</v>
      </c>
      <c r="F422" s="116">
        <v>3</v>
      </c>
      <c r="G422" s="116">
        <v>12</v>
      </c>
      <c r="H422" s="116">
        <v>2000</v>
      </c>
      <c r="I422" s="116">
        <v>2800</v>
      </c>
      <c r="J422" s="116">
        <v>283</v>
      </c>
      <c r="K422" s="117">
        <v>611</v>
      </c>
      <c r="L422" s="118" t="s">
        <v>422</v>
      </c>
      <c r="M422" s="119"/>
      <c r="N422" s="120" t="s">
        <v>56</v>
      </c>
      <c r="O422" s="120"/>
      <c r="P422" s="120"/>
    </row>
    <row r="423" spans="2:16" ht="18">
      <c r="B423" s="116">
        <v>2026</v>
      </c>
      <c r="C423" s="116">
        <v>21</v>
      </c>
      <c r="D423" s="169">
        <v>43</v>
      </c>
      <c r="E423" s="116">
        <v>2</v>
      </c>
      <c r="F423" s="116">
        <v>3</v>
      </c>
      <c r="G423" s="116">
        <v>12</v>
      </c>
      <c r="H423" s="116">
        <v>2000</v>
      </c>
      <c r="I423" s="116">
        <v>2800</v>
      </c>
      <c r="J423" s="116">
        <v>283</v>
      </c>
      <c r="K423" s="117">
        <v>618</v>
      </c>
      <c r="L423" s="118" t="s">
        <v>423</v>
      </c>
      <c r="M423" s="119"/>
      <c r="N423" s="120" t="s">
        <v>56</v>
      </c>
      <c r="O423" s="120"/>
      <c r="P423" s="120"/>
    </row>
    <row r="424" spans="2:16" ht="18">
      <c r="B424" s="116">
        <v>2026</v>
      </c>
      <c r="C424" s="116">
        <v>21</v>
      </c>
      <c r="D424" s="169">
        <v>43</v>
      </c>
      <c r="E424" s="116">
        <v>2</v>
      </c>
      <c r="F424" s="116">
        <v>3</v>
      </c>
      <c r="G424" s="116">
        <v>12</v>
      </c>
      <c r="H424" s="116">
        <v>2000</v>
      </c>
      <c r="I424" s="116">
        <v>2800</v>
      </c>
      <c r="J424" s="116">
        <v>283</v>
      </c>
      <c r="K424" s="117">
        <v>713</v>
      </c>
      <c r="L424" s="118" t="s">
        <v>424</v>
      </c>
      <c r="M424" s="119"/>
      <c r="N424" s="120" t="s">
        <v>56</v>
      </c>
      <c r="O424" s="120"/>
      <c r="P424" s="120"/>
    </row>
    <row r="425" spans="2:16" ht="18">
      <c r="B425" s="116">
        <v>2026</v>
      </c>
      <c r="C425" s="116">
        <v>21</v>
      </c>
      <c r="D425" s="169">
        <v>43</v>
      </c>
      <c r="E425" s="116">
        <v>2</v>
      </c>
      <c r="F425" s="116">
        <v>3</v>
      </c>
      <c r="G425" s="116">
        <v>12</v>
      </c>
      <c r="H425" s="116">
        <v>2000</v>
      </c>
      <c r="I425" s="116">
        <v>2800</v>
      </c>
      <c r="J425" s="116">
        <v>283</v>
      </c>
      <c r="K425" s="117">
        <v>743</v>
      </c>
      <c r="L425" s="118" t="s">
        <v>425</v>
      </c>
      <c r="M425" s="119"/>
      <c r="N425" s="144" t="s">
        <v>58</v>
      </c>
      <c r="O425" s="144"/>
      <c r="P425" s="144"/>
    </row>
    <row r="426" spans="2:16" ht="18">
      <c r="B426" s="116">
        <v>2026</v>
      </c>
      <c r="C426" s="116">
        <v>21</v>
      </c>
      <c r="D426" s="169">
        <v>43</v>
      </c>
      <c r="E426" s="116">
        <v>2</v>
      </c>
      <c r="F426" s="116">
        <v>3</v>
      </c>
      <c r="G426" s="116">
        <v>12</v>
      </c>
      <c r="H426" s="116">
        <v>2000</v>
      </c>
      <c r="I426" s="116">
        <v>2800</v>
      </c>
      <c r="J426" s="116" t="s">
        <v>13</v>
      </c>
      <c r="K426" s="117">
        <v>745</v>
      </c>
      <c r="L426" s="118" t="s">
        <v>426</v>
      </c>
      <c r="M426" s="119"/>
      <c r="N426" s="144" t="s">
        <v>58</v>
      </c>
      <c r="O426" s="144"/>
      <c r="P426" s="144"/>
    </row>
    <row r="427" spans="2:16" ht="18">
      <c r="B427" s="116">
        <v>2026</v>
      </c>
      <c r="C427" s="116">
        <v>21</v>
      </c>
      <c r="D427" s="169">
        <v>43</v>
      </c>
      <c r="E427" s="116">
        <v>2</v>
      </c>
      <c r="F427" s="116">
        <v>3</v>
      </c>
      <c r="G427" s="116">
        <v>12</v>
      </c>
      <c r="H427" s="116">
        <v>2000</v>
      </c>
      <c r="I427" s="116">
        <v>2800</v>
      </c>
      <c r="J427" s="116">
        <v>283</v>
      </c>
      <c r="K427" s="117">
        <v>749</v>
      </c>
      <c r="L427" s="118" t="s">
        <v>427</v>
      </c>
      <c r="M427" s="119"/>
      <c r="N427" s="120" t="s">
        <v>58</v>
      </c>
      <c r="O427" s="120"/>
      <c r="P427" s="120"/>
    </row>
    <row r="428" spans="2:16" ht="18">
      <c r="B428" s="116">
        <v>2026</v>
      </c>
      <c r="C428" s="116">
        <v>21</v>
      </c>
      <c r="D428" s="169">
        <v>43</v>
      </c>
      <c r="E428" s="116">
        <v>2</v>
      </c>
      <c r="F428" s="116">
        <v>3</v>
      </c>
      <c r="G428" s="116">
        <v>12</v>
      </c>
      <c r="H428" s="116">
        <v>2000</v>
      </c>
      <c r="I428" s="116">
        <v>2800</v>
      </c>
      <c r="J428" s="116">
        <v>283</v>
      </c>
      <c r="K428" s="117">
        <v>829</v>
      </c>
      <c r="L428" s="118" t="s">
        <v>428</v>
      </c>
      <c r="M428" s="119">
        <v>30750</v>
      </c>
      <c r="N428" s="120" t="s">
        <v>56</v>
      </c>
      <c r="O428" s="120">
        <v>41</v>
      </c>
      <c r="P428" s="120"/>
    </row>
    <row r="429" spans="2:16" ht="18">
      <c r="B429" s="116">
        <v>2026</v>
      </c>
      <c r="C429" s="116">
        <v>21</v>
      </c>
      <c r="D429" s="169">
        <v>43</v>
      </c>
      <c r="E429" s="116">
        <v>2</v>
      </c>
      <c r="F429" s="116">
        <v>3</v>
      </c>
      <c r="G429" s="116">
        <v>12</v>
      </c>
      <c r="H429" s="116">
        <v>2000</v>
      </c>
      <c r="I429" s="116">
        <v>2800</v>
      </c>
      <c r="J429" s="116">
        <v>283</v>
      </c>
      <c r="K429" s="117">
        <v>972</v>
      </c>
      <c r="L429" s="118" t="s">
        <v>429</v>
      </c>
      <c r="M429" s="119"/>
      <c r="N429" s="120" t="s">
        <v>56</v>
      </c>
      <c r="O429" s="120"/>
      <c r="P429" s="120"/>
    </row>
    <row r="430" spans="2:16" ht="18">
      <c r="B430" s="116">
        <v>2026</v>
      </c>
      <c r="C430" s="116">
        <v>21</v>
      </c>
      <c r="D430" s="169">
        <v>43</v>
      </c>
      <c r="E430" s="116">
        <v>2</v>
      </c>
      <c r="F430" s="116">
        <v>3</v>
      </c>
      <c r="G430" s="116">
        <v>12</v>
      </c>
      <c r="H430" s="116">
        <v>2000</v>
      </c>
      <c r="I430" s="116">
        <v>2800</v>
      </c>
      <c r="J430" s="116">
        <v>283</v>
      </c>
      <c r="K430" s="117">
        <v>991</v>
      </c>
      <c r="L430" s="118" t="s">
        <v>430</v>
      </c>
      <c r="M430" s="119"/>
      <c r="N430" s="120" t="s">
        <v>56</v>
      </c>
      <c r="O430" s="120"/>
      <c r="P430" s="120"/>
    </row>
    <row r="431" spans="2:16" ht="18">
      <c r="B431" s="116">
        <v>2026</v>
      </c>
      <c r="C431" s="116">
        <v>21</v>
      </c>
      <c r="D431" s="169">
        <v>43</v>
      </c>
      <c r="E431" s="116">
        <v>2</v>
      </c>
      <c r="F431" s="116">
        <v>3</v>
      </c>
      <c r="G431" s="116">
        <v>12</v>
      </c>
      <c r="H431" s="116">
        <v>2000</v>
      </c>
      <c r="I431" s="116">
        <v>2800</v>
      </c>
      <c r="J431" s="116">
        <v>283</v>
      </c>
      <c r="K431" s="117">
        <v>1085</v>
      </c>
      <c r="L431" s="118" t="s">
        <v>431</v>
      </c>
      <c r="M431" s="119"/>
      <c r="N431" s="120" t="s">
        <v>58</v>
      </c>
      <c r="O431" s="120"/>
      <c r="P431" s="120"/>
    </row>
    <row r="432" spans="2:16" ht="18">
      <c r="B432" s="116">
        <v>2026</v>
      </c>
      <c r="C432" s="116">
        <v>21</v>
      </c>
      <c r="D432" s="169">
        <v>43</v>
      </c>
      <c r="E432" s="116">
        <v>2</v>
      </c>
      <c r="F432" s="116">
        <v>3</v>
      </c>
      <c r="G432" s="116">
        <v>12</v>
      </c>
      <c r="H432" s="116">
        <v>2000</v>
      </c>
      <c r="I432" s="116">
        <v>2800</v>
      </c>
      <c r="J432" s="116">
        <v>283</v>
      </c>
      <c r="K432" s="117">
        <v>1231</v>
      </c>
      <c r="L432" s="118" t="s">
        <v>432</v>
      </c>
      <c r="M432" s="119"/>
      <c r="N432" s="120" t="s">
        <v>58</v>
      </c>
      <c r="O432" s="120"/>
      <c r="P432" s="120"/>
    </row>
    <row r="433" spans="2:16" ht="18">
      <c r="B433" s="116">
        <v>2026</v>
      </c>
      <c r="C433" s="116">
        <v>21</v>
      </c>
      <c r="D433" s="169">
        <v>43</v>
      </c>
      <c r="E433" s="116">
        <v>2</v>
      </c>
      <c r="F433" s="116">
        <v>3</v>
      </c>
      <c r="G433" s="116">
        <v>12</v>
      </c>
      <c r="H433" s="116">
        <v>2000</v>
      </c>
      <c r="I433" s="116">
        <v>2800</v>
      </c>
      <c r="J433" s="116">
        <v>283</v>
      </c>
      <c r="K433" s="117">
        <v>1233</v>
      </c>
      <c r="L433" s="118" t="s">
        <v>433</v>
      </c>
      <c r="M433" s="119"/>
      <c r="N433" s="120" t="s">
        <v>58</v>
      </c>
      <c r="O433" s="120"/>
      <c r="P433" s="120"/>
    </row>
    <row r="434" spans="2:16" ht="18">
      <c r="B434" s="116">
        <v>2026</v>
      </c>
      <c r="C434" s="116">
        <v>21</v>
      </c>
      <c r="D434" s="169">
        <v>43</v>
      </c>
      <c r="E434" s="116">
        <v>2</v>
      </c>
      <c r="F434" s="116">
        <v>3</v>
      </c>
      <c r="G434" s="116">
        <v>12</v>
      </c>
      <c r="H434" s="116">
        <v>2000</v>
      </c>
      <c r="I434" s="116">
        <v>2800</v>
      </c>
      <c r="J434" s="116">
        <v>283</v>
      </c>
      <c r="K434" s="117">
        <v>1236</v>
      </c>
      <c r="L434" s="118" t="s">
        <v>434</v>
      </c>
      <c r="M434" s="119"/>
      <c r="N434" s="120" t="s">
        <v>58</v>
      </c>
      <c r="O434" s="120"/>
      <c r="P434" s="120"/>
    </row>
    <row r="435" spans="2:16" ht="18">
      <c r="B435" s="116">
        <v>2026</v>
      </c>
      <c r="C435" s="116">
        <v>21</v>
      </c>
      <c r="D435" s="169">
        <v>43</v>
      </c>
      <c r="E435" s="116">
        <v>2</v>
      </c>
      <c r="F435" s="116">
        <v>3</v>
      </c>
      <c r="G435" s="116">
        <v>12</v>
      </c>
      <c r="H435" s="116">
        <v>2000</v>
      </c>
      <c r="I435" s="116">
        <v>2800</v>
      </c>
      <c r="J435" s="116">
        <v>283</v>
      </c>
      <c r="K435" s="117">
        <v>1523</v>
      </c>
      <c r="L435" s="127" t="s">
        <v>435</v>
      </c>
      <c r="M435" s="119"/>
      <c r="N435" s="131" t="s">
        <v>56</v>
      </c>
      <c r="O435" s="131"/>
      <c r="P435" s="131"/>
    </row>
    <row r="436" spans="2:16" ht="18">
      <c r="B436" s="103">
        <v>2026</v>
      </c>
      <c r="C436" s="103">
        <v>21</v>
      </c>
      <c r="D436" s="167">
        <v>43</v>
      </c>
      <c r="E436" s="103">
        <v>2</v>
      </c>
      <c r="F436" s="103">
        <v>3</v>
      </c>
      <c r="G436" s="103">
        <v>12</v>
      </c>
      <c r="H436" s="103">
        <v>2000</v>
      </c>
      <c r="I436" s="103">
        <v>2900</v>
      </c>
      <c r="J436" s="103"/>
      <c r="K436" s="103"/>
      <c r="L436" s="105" t="s">
        <v>436</v>
      </c>
      <c r="M436" s="106">
        <f>+M437+M439+M442+M444</f>
        <v>0</v>
      </c>
      <c r="N436" s="103"/>
      <c r="O436" s="103"/>
      <c r="P436" s="103"/>
    </row>
    <row r="437" spans="2:16" ht="36">
      <c r="B437" s="110">
        <v>2026</v>
      </c>
      <c r="C437" s="110">
        <v>21</v>
      </c>
      <c r="D437" s="168">
        <v>43</v>
      </c>
      <c r="E437" s="110">
        <v>2</v>
      </c>
      <c r="F437" s="110">
        <v>3</v>
      </c>
      <c r="G437" s="110">
        <v>12</v>
      </c>
      <c r="H437" s="110">
        <v>2000</v>
      </c>
      <c r="I437" s="110">
        <v>2900</v>
      </c>
      <c r="J437" s="110">
        <v>294</v>
      </c>
      <c r="K437" s="110"/>
      <c r="L437" s="123" t="s">
        <v>145</v>
      </c>
      <c r="M437" s="112">
        <f>+M438</f>
        <v>0</v>
      </c>
      <c r="N437" s="113"/>
      <c r="O437" s="113"/>
      <c r="P437" s="113"/>
    </row>
    <row r="438" spans="2:16" ht="18">
      <c r="B438" s="116">
        <v>2026</v>
      </c>
      <c r="C438" s="116">
        <v>21</v>
      </c>
      <c r="D438" s="169">
        <v>43</v>
      </c>
      <c r="E438" s="116">
        <v>2</v>
      </c>
      <c r="F438" s="116">
        <v>3</v>
      </c>
      <c r="G438" s="116">
        <v>12</v>
      </c>
      <c r="H438" s="116">
        <v>2000</v>
      </c>
      <c r="I438" s="116">
        <v>2900</v>
      </c>
      <c r="J438" s="116">
        <v>294</v>
      </c>
      <c r="K438" s="117">
        <v>1196</v>
      </c>
      <c r="L438" s="118" t="s">
        <v>146</v>
      </c>
      <c r="M438" s="119"/>
      <c r="N438" s="120" t="s">
        <v>42</v>
      </c>
      <c r="O438" s="120"/>
      <c r="P438" s="120"/>
    </row>
    <row r="439" spans="2:16" ht="36">
      <c r="B439" s="110">
        <v>2026</v>
      </c>
      <c r="C439" s="110">
        <v>21</v>
      </c>
      <c r="D439" s="168">
        <v>43</v>
      </c>
      <c r="E439" s="110">
        <v>2</v>
      </c>
      <c r="F439" s="110">
        <v>3</v>
      </c>
      <c r="G439" s="110">
        <v>12</v>
      </c>
      <c r="H439" s="110">
        <v>2000</v>
      </c>
      <c r="I439" s="110">
        <v>2900</v>
      </c>
      <c r="J439" s="110">
        <v>295</v>
      </c>
      <c r="K439" s="110"/>
      <c r="L439" s="123" t="s">
        <v>437</v>
      </c>
      <c r="M439" s="112">
        <f>+M440+M441</f>
        <v>0</v>
      </c>
      <c r="N439" s="113"/>
      <c r="O439" s="113"/>
      <c r="P439" s="113"/>
    </row>
    <row r="440" spans="2:16" ht="18">
      <c r="B440" s="116">
        <v>2026</v>
      </c>
      <c r="C440" s="116">
        <v>21</v>
      </c>
      <c r="D440" s="169">
        <v>43</v>
      </c>
      <c r="E440" s="116">
        <v>2</v>
      </c>
      <c r="F440" s="116">
        <v>3</v>
      </c>
      <c r="G440" s="116">
        <v>12</v>
      </c>
      <c r="H440" s="116">
        <v>2000</v>
      </c>
      <c r="I440" s="116">
        <v>2900</v>
      </c>
      <c r="J440" s="116">
        <v>295</v>
      </c>
      <c r="K440" s="117">
        <v>806</v>
      </c>
      <c r="L440" s="118" t="s">
        <v>438</v>
      </c>
      <c r="M440" s="119"/>
      <c r="N440" s="120" t="s">
        <v>149</v>
      </c>
      <c r="O440" s="120"/>
      <c r="P440" s="120"/>
    </row>
    <row r="441" spans="2:16" ht="18">
      <c r="B441" s="116">
        <v>2026</v>
      </c>
      <c r="C441" s="116">
        <v>21</v>
      </c>
      <c r="D441" s="169">
        <v>43</v>
      </c>
      <c r="E441" s="116">
        <v>2</v>
      </c>
      <c r="F441" s="116">
        <v>3</v>
      </c>
      <c r="G441" s="116">
        <v>12</v>
      </c>
      <c r="H441" s="116">
        <v>2000</v>
      </c>
      <c r="I441" s="116">
        <v>2900</v>
      </c>
      <c r="J441" s="116">
        <v>295</v>
      </c>
      <c r="K441" s="117">
        <v>807</v>
      </c>
      <c r="L441" s="118" t="s">
        <v>439</v>
      </c>
      <c r="M441" s="119"/>
      <c r="N441" s="120" t="s">
        <v>149</v>
      </c>
      <c r="O441" s="120"/>
      <c r="P441" s="120"/>
    </row>
    <row r="442" spans="2:16" ht="18">
      <c r="B442" s="110">
        <v>2026</v>
      </c>
      <c r="C442" s="110">
        <v>21</v>
      </c>
      <c r="D442" s="168">
        <v>43</v>
      </c>
      <c r="E442" s="110">
        <v>2</v>
      </c>
      <c r="F442" s="110">
        <v>3</v>
      </c>
      <c r="G442" s="110">
        <v>12</v>
      </c>
      <c r="H442" s="110">
        <v>2000</v>
      </c>
      <c r="I442" s="110">
        <v>2900</v>
      </c>
      <c r="J442" s="110">
        <v>296</v>
      </c>
      <c r="K442" s="110"/>
      <c r="L442" s="123" t="s">
        <v>440</v>
      </c>
      <c r="M442" s="112">
        <f>+M443</f>
        <v>0</v>
      </c>
      <c r="N442" s="113"/>
      <c r="O442" s="113"/>
      <c r="P442" s="113"/>
    </row>
    <row r="443" spans="2:16" ht="18">
      <c r="B443" s="116">
        <v>2026</v>
      </c>
      <c r="C443" s="116">
        <v>21</v>
      </c>
      <c r="D443" s="169">
        <v>43</v>
      </c>
      <c r="E443" s="116">
        <v>2</v>
      </c>
      <c r="F443" s="116">
        <v>3</v>
      </c>
      <c r="G443" s="116">
        <v>12</v>
      </c>
      <c r="H443" s="116">
        <v>2000</v>
      </c>
      <c r="I443" s="116">
        <v>2900</v>
      </c>
      <c r="J443" s="116">
        <v>296</v>
      </c>
      <c r="K443" s="117">
        <v>1193</v>
      </c>
      <c r="L443" s="118" t="s">
        <v>440</v>
      </c>
      <c r="M443" s="119"/>
      <c r="N443" s="120" t="s">
        <v>42</v>
      </c>
      <c r="O443" s="120"/>
      <c r="P443" s="120"/>
    </row>
    <row r="444" spans="2:16" ht="18">
      <c r="B444" s="110">
        <v>2026</v>
      </c>
      <c r="C444" s="110">
        <v>21</v>
      </c>
      <c r="D444" s="168">
        <v>43</v>
      </c>
      <c r="E444" s="110">
        <v>2</v>
      </c>
      <c r="F444" s="110">
        <v>3</v>
      </c>
      <c r="G444" s="110">
        <v>12</v>
      </c>
      <c r="H444" s="110">
        <v>2000</v>
      </c>
      <c r="I444" s="110">
        <v>2900</v>
      </c>
      <c r="J444" s="110">
        <v>297</v>
      </c>
      <c r="K444" s="110"/>
      <c r="L444" s="123" t="s">
        <v>147</v>
      </c>
      <c r="M444" s="112">
        <f>+M445+M446</f>
        <v>0</v>
      </c>
      <c r="N444" s="113"/>
      <c r="O444" s="113"/>
      <c r="P444" s="113"/>
    </row>
    <row r="445" spans="2:16" ht="18">
      <c r="B445" s="116">
        <v>2026</v>
      </c>
      <c r="C445" s="116">
        <v>21</v>
      </c>
      <c r="D445" s="169">
        <v>43</v>
      </c>
      <c r="E445" s="116">
        <v>2</v>
      </c>
      <c r="F445" s="116">
        <v>3</v>
      </c>
      <c r="G445" s="116">
        <v>12</v>
      </c>
      <c r="H445" s="116">
        <v>2000</v>
      </c>
      <c r="I445" s="116">
        <v>2900</v>
      </c>
      <c r="J445" s="116">
        <v>297</v>
      </c>
      <c r="K445" s="117">
        <v>1192</v>
      </c>
      <c r="L445" s="118" t="s">
        <v>147</v>
      </c>
      <c r="M445" s="119"/>
      <c r="N445" s="120" t="s">
        <v>42</v>
      </c>
      <c r="O445" s="120"/>
      <c r="P445" s="120"/>
    </row>
    <row r="446" spans="2:16" ht="18">
      <c r="B446" s="116">
        <v>2026</v>
      </c>
      <c r="C446" s="116">
        <v>21</v>
      </c>
      <c r="D446" s="169">
        <v>43</v>
      </c>
      <c r="E446" s="116">
        <v>2</v>
      </c>
      <c r="F446" s="116">
        <v>3</v>
      </c>
      <c r="G446" s="116">
        <v>12</v>
      </c>
      <c r="H446" s="116">
        <v>2000</v>
      </c>
      <c r="I446" s="116">
        <v>2900</v>
      </c>
      <c r="J446" s="116">
        <v>297</v>
      </c>
      <c r="K446" s="117">
        <v>592</v>
      </c>
      <c r="L446" s="118" t="s">
        <v>441</v>
      </c>
      <c r="M446" s="119"/>
      <c r="N446" s="120" t="s">
        <v>56</v>
      </c>
      <c r="O446" s="120"/>
      <c r="P446" s="120"/>
    </row>
    <row r="447" spans="2:16" ht="18">
      <c r="B447" s="96">
        <v>2026</v>
      </c>
      <c r="C447" s="96">
        <v>21</v>
      </c>
      <c r="D447" s="166">
        <v>43</v>
      </c>
      <c r="E447" s="96">
        <v>2</v>
      </c>
      <c r="F447" s="96">
        <v>3</v>
      </c>
      <c r="G447" s="96">
        <v>12</v>
      </c>
      <c r="H447" s="96">
        <v>3000</v>
      </c>
      <c r="I447" s="96"/>
      <c r="J447" s="96"/>
      <c r="K447" s="96"/>
      <c r="L447" s="98" t="s">
        <v>24</v>
      </c>
      <c r="M447" s="99">
        <f>+M448+M453+M456+M461</f>
        <v>0</v>
      </c>
      <c r="N447" s="100"/>
      <c r="O447" s="100"/>
      <c r="P447" s="100"/>
    </row>
    <row r="448" spans="2:16" ht="18">
      <c r="B448" s="103">
        <v>2026</v>
      </c>
      <c r="C448" s="103">
        <v>21</v>
      </c>
      <c r="D448" s="167">
        <v>43</v>
      </c>
      <c r="E448" s="103">
        <v>2</v>
      </c>
      <c r="F448" s="103">
        <v>3</v>
      </c>
      <c r="G448" s="103">
        <v>12</v>
      </c>
      <c r="H448" s="103">
        <v>3000</v>
      </c>
      <c r="I448" s="103">
        <v>3100</v>
      </c>
      <c r="J448" s="103"/>
      <c r="K448" s="103"/>
      <c r="L448" s="105" t="s">
        <v>151</v>
      </c>
      <c r="M448" s="106">
        <f>+M449+M451</f>
        <v>0</v>
      </c>
      <c r="N448" s="103"/>
      <c r="O448" s="103"/>
      <c r="P448" s="103"/>
    </row>
    <row r="449" spans="1:16" ht="18">
      <c r="B449" s="110">
        <v>2026</v>
      </c>
      <c r="C449" s="110">
        <v>21</v>
      </c>
      <c r="D449" s="168">
        <v>43</v>
      </c>
      <c r="E449" s="110">
        <v>2</v>
      </c>
      <c r="F449" s="110">
        <v>3</v>
      </c>
      <c r="G449" s="110">
        <v>12</v>
      </c>
      <c r="H449" s="110">
        <v>3000</v>
      </c>
      <c r="I449" s="110">
        <v>3100</v>
      </c>
      <c r="J449" s="110">
        <v>316</v>
      </c>
      <c r="K449" s="110"/>
      <c r="L449" s="123" t="s">
        <v>442</v>
      </c>
      <c r="M449" s="112">
        <f>+M450</f>
        <v>0</v>
      </c>
      <c r="N449" s="113"/>
      <c r="O449" s="113"/>
      <c r="P449" s="113"/>
    </row>
    <row r="450" spans="1:16" ht="40.5" customHeight="1">
      <c r="B450" s="116">
        <v>2026</v>
      </c>
      <c r="C450" s="116">
        <v>21</v>
      </c>
      <c r="D450" s="169">
        <v>43</v>
      </c>
      <c r="E450" s="116">
        <v>2</v>
      </c>
      <c r="F450" s="116">
        <v>3</v>
      </c>
      <c r="G450" s="116">
        <v>12</v>
      </c>
      <c r="H450" s="116">
        <v>3000</v>
      </c>
      <c r="I450" s="116">
        <v>3100</v>
      </c>
      <c r="J450" s="116">
        <v>316</v>
      </c>
      <c r="K450" s="117">
        <v>1524</v>
      </c>
      <c r="L450" s="118" t="s">
        <v>443</v>
      </c>
      <c r="M450" s="119"/>
      <c r="N450" s="120" t="s">
        <v>28</v>
      </c>
      <c r="O450" s="120"/>
      <c r="P450" s="120"/>
    </row>
    <row r="451" spans="1:16" ht="18">
      <c r="B451" s="110">
        <v>2026</v>
      </c>
      <c r="C451" s="110">
        <v>21</v>
      </c>
      <c r="D451" s="168">
        <v>43</v>
      </c>
      <c r="E451" s="110">
        <v>2</v>
      </c>
      <c r="F451" s="110">
        <v>3</v>
      </c>
      <c r="G451" s="110">
        <v>12</v>
      </c>
      <c r="H451" s="110">
        <v>3000</v>
      </c>
      <c r="I451" s="110">
        <v>3100</v>
      </c>
      <c r="J451" s="110">
        <v>317</v>
      </c>
      <c r="K451" s="110"/>
      <c r="L451" s="123" t="s">
        <v>154</v>
      </c>
      <c r="M451" s="112">
        <f>+M452</f>
        <v>0</v>
      </c>
      <c r="N451" s="113"/>
      <c r="O451" s="113"/>
      <c r="P451" s="113"/>
    </row>
    <row r="452" spans="1:16" s="58" customFormat="1" ht="18">
      <c r="A452"/>
      <c r="B452" s="116">
        <v>2026</v>
      </c>
      <c r="C452" s="116">
        <v>21</v>
      </c>
      <c r="D452" s="169">
        <v>43</v>
      </c>
      <c r="E452" s="116">
        <v>2</v>
      </c>
      <c r="F452" s="116">
        <v>3</v>
      </c>
      <c r="G452" s="116">
        <v>12</v>
      </c>
      <c r="H452" s="116">
        <v>3000</v>
      </c>
      <c r="I452" s="116">
        <v>3100</v>
      </c>
      <c r="J452" s="116">
        <v>317</v>
      </c>
      <c r="K452" s="117">
        <v>1271</v>
      </c>
      <c r="L452" s="118" t="s">
        <v>155</v>
      </c>
      <c r="M452" s="119"/>
      <c r="N452" s="120" t="s">
        <v>28</v>
      </c>
      <c r="O452" s="120"/>
      <c r="P452" s="120"/>
    </row>
    <row r="453" spans="1:16" s="58" customFormat="1" ht="18">
      <c r="A453"/>
      <c r="B453" s="103">
        <v>2026</v>
      </c>
      <c r="C453" s="103">
        <v>21</v>
      </c>
      <c r="D453" s="167">
        <v>43</v>
      </c>
      <c r="E453" s="103">
        <v>2</v>
      </c>
      <c r="F453" s="103">
        <v>3</v>
      </c>
      <c r="G453" s="103">
        <v>12</v>
      </c>
      <c r="H453" s="103">
        <v>3000</v>
      </c>
      <c r="I453" s="103">
        <v>3200</v>
      </c>
      <c r="J453" s="103"/>
      <c r="K453" s="103"/>
      <c r="L453" s="105" t="s">
        <v>156</v>
      </c>
      <c r="M453" s="106">
        <f>+M454</f>
        <v>0</v>
      </c>
      <c r="N453" s="103"/>
      <c r="O453" s="103"/>
      <c r="P453" s="103"/>
    </row>
    <row r="454" spans="1:16" s="58" customFormat="1" ht="18">
      <c r="A454"/>
      <c r="B454" s="110">
        <v>2026</v>
      </c>
      <c r="C454" s="110">
        <v>21</v>
      </c>
      <c r="D454" s="168">
        <v>43</v>
      </c>
      <c r="E454" s="110">
        <v>2</v>
      </c>
      <c r="F454" s="110">
        <v>3</v>
      </c>
      <c r="G454" s="110">
        <v>12</v>
      </c>
      <c r="H454" s="110">
        <v>3000</v>
      </c>
      <c r="I454" s="110">
        <v>3200</v>
      </c>
      <c r="J454" s="110">
        <v>325</v>
      </c>
      <c r="K454" s="110"/>
      <c r="L454" s="123" t="s">
        <v>444</v>
      </c>
      <c r="M454" s="112">
        <f>+M455</f>
        <v>0</v>
      </c>
      <c r="N454" s="113"/>
      <c r="O454" s="113"/>
      <c r="P454" s="113"/>
    </row>
    <row r="455" spans="1:16" s="58" customFormat="1" ht="18">
      <c r="A455"/>
      <c r="B455" s="116">
        <v>2026</v>
      </c>
      <c r="C455" s="116">
        <v>21</v>
      </c>
      <c r="D455" s="169">
        <v>43</v>
      </c>
      <c r="E455" s="116">
        <v>2</v>
      </c>
      <c r="F455" s="116">
        <v>3</v>
      </c>
      <c r="G455" s="116">
        <v>12</v>
      </c>
      <c r="H455" s="116">
        <v>3000</v>
      </c>
      <c r="I455" s="116">
        <v>3200</v>
      </c>
      <c r="J455" s="116">
        <v>325</v>
      </c>
      <c r="K455" s="117">
        <v>82</v>
      </c>
      <c r="L455" s="118" t="s">
        <v>445</v>
      </c>
      <c r="M455" s="119"/>
      <c r="N455" s="120" t="s">
        <v>28</v>
      </c>
      <c r="O455" s="120"/>
      <c r="P455" s="120"/>
    </row>
    <row r="456" spans="1:16" s="58" customFormat="1" ht="18">
      <c r="A456"/>
      <c r="B456" s="103">
        <v>2026</v>
      </c>
      <c r="C456" s="103">
        <v>21</v>
      </c>
      <c r="D456" s="167">
        <v>43</v>
      </c>
      <c r="E456" s="103">
        <v>2</v>
      </c>
      <c r="F456" s="103">
        <v>3</v>
      </c>
      <c r="G456" s="103">
        <v>12</v>
      </c>
      <c r="H456" s="103">
        <v>3000</v>
      </c>
      <c r="I456" s="103">
        <v>3500</v>
      </c>
      <c r="J456" s="103"/>
      <c r="K456" s="103"/>
      <c r="L456" s="105" t="s">
        <v>158</v>
      </c>
      <c r="M456" s="106">
        <f>+M457+M459</f>
        <v>0</v>
      </c>
      <c r="N456" s="107"/>
      <c r="O456" s="107"/>
      <c r="P456" s="107"/>
    </row>
    <row r="457" spans="1:16" s="58" customFormat="1" ht="36">
      <c r="A457"/>
      <c r="B457" s="110">
        <v>2026</v>
      </c>
      <c r="C457" s="110">
        <v>21</v>
      </c>
      <c r="D457" s="168">
        <v>43</v>
      </c>
      <c r="E457" s="110">
        <v>2</v>
      </c>
      <c r="F457" s="110">
        <v>3</v>
      </c>
      <c r="G457" s="110">
        <v>12</v>
      </c>
      <c r="H457" s="110">
        <v>3000</v>
      </c>
      <c r="I457" s="110">
        <v>3500</v>
      </c>
      <c r="J457" s="110">
        <v>353</v>
      </c>
      <c r="K457" s="110"/>
      <c r="L457" s="123" t="s">
        <v>446</v>
      </c>
      <c r="M457" s="112">
        <f>+M458</f>
        <v>0</v>
      </c>
      <c r="N457" s="113"/>
      <c r="O457" s="113"/>
      <c r="P457" s="113"/>
    </row>
    <row r="458" spans="1:16" s="58" customFormat="1" ht="18">
      <c r="A458"/>
      <c r="B458" s="116">
        <v>2026</v>
      </c>
      <c r="C458" s="116">
        <v>21</v>
      </c>
      <c r="D458" s="169">
        <v>43</v>
      </c>
      <c r="E458" s="116">
        <v>2</v>
      </c>
      <c r="F458" s="116">
        <v>3</v>
      </c>
      <c r="G458" s="116">
        <v>12</v>
      </c>
      <c r="H458" s="116">
        <v>3000</v>
      </c>
      <c r="I458" s="116">
        <v>3500</v>
      </c>
      <c r="J458" s="116">
        <v>353</v>
      </c>
      <c r="K458" s="117">
        <v>892</v>
      </c>
      <c r="L458" s="118" t="s">
        <v>447</v>
      </c>
      <c r="M458" s="119"/>
      <c r="N458" s="120" t="s">
        <v>28</v>
      </c>
      <c r="O458" s="120"/>
      <c r="P458" s="120"/>
    </row>
    <row r="459" spans="1:16" s="58" customFormat="1" ht="18">
      <c r="A459"/>
      <c r="B459" s="110">
        <v>2026</v>
      </c>
      <c r="C459" s="110">
        <v>21</v>
      </c>
      <c r="D459" s="168">
        <v>43</v>
      </c>
      <c r="E459" s="110">
        <v>2</v>
      </c>
      <c r="F459" s="110">
        <v>3</v>
      </c>
      <c r="G459" s="110">
        <v>12</v>
      </c>
      <c r="H459" s="110">
        <v>3000</v>
      </c>
      <c r="I459" s="110">
        <v>3500</v>
      </c>
      <c r="J459" s="110">
        <v>355</v>
      </c>
      <c r="K459" s="110"/>
      <c r="L459" s="123" t="s">
        <v>448</v>
      </c>
      <c r="M459" s="112">
        <f>+M460</f>
        <v>0</v>
      </c>
      <c r="N459" s="113"/>
      <c r="O459" s="113"/>
      <c r="P459" s="113"/>
    </row>
    <row r="460" spans="1:16" s="58" customFormat="1" ht="18">
      <c r="A460"/>
      <c r="B460" s="116">
        <v>2026</v>
      </c>
      <c r="C460" s="116">
        <v>21</v>
      </c>
      <c r="D460" s="169">
        <v>43</v>
      </c>
      <c r="E460" s="116">
        <v>2</v>
      </c>
      <c r="F460" s="116">
        <v>3</v>
      </c>
      <c r="G460" s="116">
        <v>12</v>
      </c>
      <c r="H460" s="116">
        <v>3000</v>
      </c>
      <c r="I460" s="116">
        <v>3500</v>
      </c>
      <c r="J460" s="116">
        <v>355</v>
      </c>
      <c r="K460" s="117">
        <v>890</v>
      </c>
      <c r="L460" s="118" t="s">
        <v>449</v>
      </c>
      <c r="M460" s="119"/>
      <c r="N460" s="120" t="s">
        <v>28</v>
      </c>
      <c r="O460" s="120"/>
      <c r="P460" s="120"/>
    </row>
    <row r="461" spans="1:16" s="58" customFormat="1" ht="18">
      <c r="A461"/>
      <c r="B461" s="103">
        <v>2026</v>
      </c>
      <c r="C461" s="103">
        <v>21</v>
      </c>
      <c r="D461" s="167">
        <v>43</v>
      </c>
      <c r="E461" s="103">
        <v>2</v>
      </c>
      <c r="F461" s="103">
        <v>3</v>
      </c>
      <c r="G461" s="103">
        <v>12</v>
      </c>
      <c r="H461" s="103">
        <v>3000</v>
      </c>
      <c r="I461" s="103">
        <v>3700</v>
      </c>
      <c r="J461" s="103"/>
      <c r="K461" s="103"/>
      <c r="L461" s="105" t="s">
        <v>450</v>
      </c>
      <c r="M461" s="106">
        <f>+M462</f>
        <v>0</v>
      </c>
      <c r="N461" s="103"/>
      <c r="O461" s="103"/>
      <c r="P461" s="103"/>
    </row>
    <row r="462" spans="1:16" s="58" customFormat="1" ht="18">
      <c r="A462"/>
      <c r="B462" s="110">
        <v>2026</v>
      </c>
      <c r="C462" s="110">
        <v>21</v>
      </c>
      <c r="D462" s="168">
        <v>43</v>
      </c>
      <c r="E462" s="110">
        <v>2</v>
      </c>
      <c r="F462" s="110">
        <v>3</v>
      </c>
      <c r="G462" s="110">
        <v>12</v>
      </c>
      <c r="H462" s="110">
        <v>3000</v>
      </c>
      <c r="I462" s="110">
        <v>3700</v>
      </c>
      <c r="J462" s="110">
        <v>375</v>
      </c>
      <c r="K462" s="110"/>
      <c r="L462" s="123" t="s">
        <v>451</v>
      </c>
      <c r="M462" s="112">
        <f>+M463</f>
        <v>0</v>
      </c>
      <c r="N462" s="113"/>
      <c r="O462" s="113"/>
      <c r="P462" s="113"/>
    </row>
    <row r="463" spans="1:16" s="58" customFormat="1" ht="36">
      <c r="A463"/>
      <c r="B463" s="116">
        <v>2026</v>
      </c>
      <c r="C463" s="116">
        <v>21</v>
      </c>
      <c r="D463" s="169">
        <v>43</v>
      </c>
      <c r="E463" s="116">
        <v>2</v>
      </c>
      <c r="F463" s="116">
        <v>3</v>
      </c>
      <c r="G463" s="116">
        <v>12</v>
      </c>
      <c r="H463" s="116">
        <v>3000</v>
      </c>
      <c r="I463" s="116">
        <v>3700</v>
      </c>
      <c r="J463" s="116">
        <v>375</v>
      </c>
      <c r="K463" s="117">
        <v>1525</v>
      </c>
      <c r="L463" s="118" t="s">
        <v>452</v>
      </c>
      <c r="M463" s="119"/>
      <c r="N463" s="120" t="s">
        <v>28</v>
      </c>
      <c r="O463" s="120"/>
      <c r="P463" s="120"/>
    </row>
    <row r="464" spans="1:16" s="58" customFormat="1" ht="18">
      <c r="A464"/>
      <c r="B464" s="96">
        <v>2026</v>
      </c>
      <c r="C464" s="96">
        <v>21</v>
      </c>
      <c r="D464" s="166">
        <v>43</v>
      </c>
      <c r="E464" s="96">
        <v>2</v>
      </c>
      <c r="F464" s="96">
        <v>3</v>
      </c>
      <c r="G464" s="96">
        <v>12</v>
      </c>
      <c r="H464" s="96">
        <v>5000</v>
      </c>
      <c r="I464" s="96"/>
      <c r="J464" s="96"/>
      <c r="K464" s="96"/>
      <c r="L464" s="98" t="s">
        <v>161</v>
      </c>
      <c r="M464" s="99">
        <f>+M465+M502+M507+M516+M520+M523</f>
        <v>0</v>
      </c>
      <c r="N464" s="100"/>
      <c r="O464" s="100"/>
      <c r="P464" s="100"/>
    </row>
    <row r="465" spans="1:16" s="58" customFormat="1" ht="18">
      <c r="A465"/>
      <c r="B465" s="103">
        <v>2026</v>
      </c>
      <c r="C465" s="103">
        <v>21</v>
      </c>
      <c r="D465" s="167">
        <v>43</v>
      </c>
      <c r="E465" s="103">
        <v>2</v>
      </c>
      <c r="F465" s="103">
        <v>3</v>
      </c>
      <c r="G465" s="103">
        <v>12</v>
      </c>
      <c r="H465" s="103">
        <v>5000</v>
      </c>
      <c r="I465" s="103">
        <v>5100</v>
      </c>
      <c r="J465" s="103"/>
      <c r="K465" s="103"/>
      <c r="L465" s="105" t="s">
        <v>162</v>
      </c>
      <c r="M465" s="106">
        <f>+M466+M484+M487</f>
        <v>0</v>
      </c>
      <c r="N465" s="107"/>
      <c r="O465" s="107"/>
      <c r="P465" s="107"/>
    </row>
    <row r="466" spans="1:16" s="58" customFormat="1" ht="18">
      <c r="A466"/>
      <c r="B466" s="110">
        <v>2026</v>
      </c>
      <c r="C466" s="110">
        <v>21</v>
      </c>
      <c r="D466" s="168">
        <v>43</v>
      </c>
      <c r="E466" s="110">
        <v>2</v>
      </c>
      <c r="F466" s="110">
        <v>3</v>
      </c>
      <c r="G466" s="110">
        <v>12</v>
      </c>
      <c r="H466" s="110">
        <v>5000</v>
      </c>
      <c r="I466" s="110">
        <v>5100</v>
      </c>
      <c r="J466" s="110">
        <v>511</v>
      </c>
      <c r="K466" s="110"/>
      <c r="L466" s="123" t="s">
        <v>163</v>
      </c>
      <c r="M466" s="112">
        <f>SUBTOTAL(9,M467:M483)</f>
        <v>0</v>
      </c>
      <c r="N466" s="113"/>
      <c r="O466" s="113"/>
      <c r="P466" s="113"/>
    </row>
    <row r="467" spans="1:16" s="58" customFormat="1" ht="18">
      <c r="A467"/>
      <c r="B467" s="116">
        <v>2026</v>
      </c>
      <c r="C467" s="116">
        <v>21</v>
      </c>
      <c r="D467" s="169">
        <v>43</v>
      </c>
      <c r="E467" s="116">
        <v>2</v>
      </c>
      <c r="F467" s="116">
        <v>3</v>
      </c>
      <c r="G467" s="116">
        <v>12</v>
      </c>
      <c r="H467" s="116">
        <v>5000</v>
      </c>
      <c r="I467" s="116">
        <v>5100</v>
      </c>
      <c r="J467" s="116">
        <v>511</v>
      </c>
      <c r="K467" s="117">
        <v>1526</v>
      </c>
      <c r="L467" s="118" t="s">
        <v>453</v>
      </c>
      <c r="M467" s="119"/>
      <c r="N467" s="120" t="s">
        <v>56</v>
      </c>
      <c r="O467" s="120"/>
      <c r="P467" s="120"/>
    </row>
    <row r="468" spans="1:16" ht="18">
      <c r="B468" s="116">
        <v>2026</v>
      </c>
      <c r="C468" s="116">
        <v>21</v>
      </c>
      <c r="D468" s="169">
        <v>43</v>
      </c>
      <c r="E468" s="116">
        <v>2</v>
      </c>
      <c r="F468" s="116">
        <v>3</v>
      </c>
      <c r="G468" s="116">
        <v>12</v>
      </c>
      <c r="H468" s="116">
        <v>5000</v>
      </c>
      <c r="I468" s="116">
        <v>5100</v>
      </c>
      <c r="J468" s="116">
        <v>511</v>
      </c>
      <c r="K468" s="117">
        <v>1527</v>
      </c>
      <c r="L468" s="118" t="s">
        <v>454</v>
      </c>
      <c r="M468" s="119"/>
      <c r="N468" s="120" t="s">
        <v>56</v>
      </c>
      <c r="O468" s="120"/>
      <c r="P468" s="120"/>
    </row>
    <row r="469" spans="1:16" ht="18">
      <c r="B469" s="116">
        <v>2026</v>
      </c>
      <c r="C469" s="116">
        <v>21</v>
      </c>
      <c r="D469" s="169">
        <v>43</v>
      </c>
      <c r="E469" s="116">
        <v>2</v>
      </c>
      <c r="F469" s="116">
        <v>3</v>
      </c>
      <c r="G469" s="116">
        <v>12</v>
      </c>
      <c r="H469" s="116">
        <v>5000</v>
      </c>
      <c r="I469" s="116">
        <v>5100</v>
      </c>
      <c r="J469" s="116">
        <v>511</v>
      </c>
      <c r="K469" s="117">
        <v>1528</v>
      </c>
      <c r="L469" s="118" t="s">
        <v>455</v>
      </c>
      <c r="M469" s="119"/>
      <c r="N469" s="120" t="s">
        <v>56</v>
      </c>
      <c r="O469" s="120"/>
      <c r="P469" s="120"/>
    </row>
    <row r="470" spans="1:16" ht="18">
      <c r="B470" s="116">
        <v>2026</v>
      </c>
      <c r="C470" s="116">
        <v>21</v>
      </c>
      <c r="D470" s="169">
        <v>43</v>
      </c>
      <c r="E470" s="116">
        <v>2</v>
      </c>
      <c r="F470" s="116">
        <v>3</v>
      </c>
      <c r="G470" s="116">
        <v>12</v>
      </c>
      <c r="H470" s="116">
        <v>5000</v>
      </c>
      <c r="I470" s="116">
        <v>5100</v>
      </c>
      <c r="J470" s="116">
        <v>511</v>
      </c>
      <c r="K470" s="117">
        <v>1529</v>
      </c>
      <c r="L470" s="118" t="s">
        <v>456</v>
      </c>
      <c r="M470" s="119"/>
      <c r="N470" s="120" t="s">
        <v>56</v>
      </c>
      <c r="O470" s="120"/>
      <c r="P470" s="120"/>
    </row>
    <row r="471" spans="1:16" ht="18">
      <c r="B471" s="116">
        <v>2026</v>
      </c>
      <c r="C471" s="116">
        <v>21</v>
      </c>
      <c r="D471" s="169">
        <v>43</v>
      </c>
      <c r="E471" s="116">
        <v>2</v>
      </c>
      <c r="F471" s="116">
        <v>3</v>
      </c>
      <c r="G471" s="116">
        <v>12</v>
      </c>
      <c r="H471" s="116">
        <v>5000</v>
      </c>
      <c r="I471" s="116">
        <v>5100</v>
      </c>
      <c r="J471" s="116">
        <v>511</v>
      </c>
      <c r="K471" s="117">
        <v>1530</v>
      </c>
      <c r="L471" s="118" t="s">
        <v>457</v>
      </c>
      <c r="M471" s="119"/>
      <c r="N471" s="120" t="s">
        <v>56</v>
      </c>
      <c r="O471" s="120"/>
      <c r="P471" s="120"/>
    </row>
    <row r="472" spans="1:16" ht="18">
      <c r="B472" s="116">
        <v>2026</v>
      </c>
      <c r="C472" s="116">
        <v>21</v>
      </c>
      <c r="D472" s="169">
        <v>43</v>
      </c>
      <c r="E472" s="116">
        <v>2</v>
      </c>
      <c r="F472" s="116">
        <v>3</v>
      </c>
      <c r="G472" s="116">
        <v>12</v>
      </c>
      <c r="H472" s="116">
        <v>5000</v>
      </c>
      <c r="I472" s="116">
        <v>5100</v>
      </c>
      <c r="J472" s="116">
        <v>511</v>
      </c>
      <c r="K472" s="117">
        <v>1531</v>
      </c>
      <c r="L472" s="118" t="s">
        <v>458</v>
      </c>
      <c r="M472" s="119"/>
      <c r="N472" s="120" t="s">
        <v>56</v>
      </c>
      <c r="O472" s="120"/>
      <c r="P472" s="120"/>
    </row>
    <row r="473" spans="1:16" ht="18">
      <c r="B473" s="116">
        <v>2026</v>
      </c>
      <c r="C473" s="116">
        <v>21</v>
      </c>
      <c r="D473" s="169">
        <v>43</v>
      </c>
      <c r="E473" s="116">
        <v>2</v>
      </c>
      <c r="F473" s="116">
        <v>3</v>
      </c>
      <c r="G473" s="116">
        <v>12</v>
      </c>
      <c r="H473" s="116">
        <v>5000</v>
      </c>
      <c r="I473" s="116">
        <v>5100</v>
      </c>
      <c r="J473" s="116">
        <v>511</v>
      </c>
      <c r="K473" s="117">
        <v>1532</v>
      </c>
      <c r="L473" s="118" t="s">
        <v>459</v>
      </c>
      <c r="M473" s="119"/>
      <c r="N473" s="120" t="s">
        <v>56</v>
      </c>
      <c r="O473" s="120"/>
      <c r="P473" s="120"/>
    </row>
    <row r="474" spans="1:16" ht="18">
      <c r="B474" s="116">
        <v>2026</v>
      </c>
      <c r="C474" s="116">
        <v>21</v>
      </c>
      <c r="D474" s="169">
        <v>43</v>
      </c>
      <c r="E474" s="116">
        <v>2</v>
      </c>
      <c r="F474" s="116">
        <v>3</v>
      </c>
      <c r="G474" s="116">
        <v>12</v>
      </c>
      <c r="H474" s="116">
        <v>5000</v>
      </c>
      <c r="I474" s="116">
        <v>5100</v>
      </c>
      <c r="J474" s="116">
        <v>511</v>
      </c>
      <c r="K474" s="117">
        <v>1533</v>
      </c>
      <c r="L474" s="118" t="s">
        <v>460</v>
      </c>
      <c r="M474" s="119"/>
      <c r="N474" s="120" t="s">
        <v>56</v>
      </c>
      <c r="O474" s="120"/>
      <c r="P474" s="120"/>
    </row>
    <row r="475" spans="1:16" ht="18">
      <c r="B475" s="116">
        <v>2026</v>
      </c>
      <c r="C475" s="116">
        <v>21</v>
      </c>
      <c r="D475" s="169">
        <v>43</v>
      </c>
      <c r="E475" s="116">
        <v>2</v>
      </c>
      <c r="F475" s="116">
        <v>3</v>
      </c>
      <c r="G475" s="116">
        <v>12</v>
      </c>
      <c r="H475" s="116">
        <v>5000</v>
      </c>
      <c r="I475" s="116">
        <v>5100</v>
      </c>
      <c r="J475" s="116">
        <v>511</v>
      </c>
      <c r="K475" s="117">
        <v>1534</v>
      </c>
      <c r="L475" s="118" t="s">
        <v>461</v>
      </c>
      <c r="M475" s="119"/>
      <c r="N475" s="120" t="s">
        <v>70</v>
      </c>
      <c r="O475" s="120"/>
      <c r="P475" s="120"/>
    </row>
    <row r="476" spans="1:16" ht="18">
      <c r="B476" s="116">
        <v>2026</v>
      </c>
      <c r="C476" s="116">
        <v>21</v>
      </c>
      <c r="D476" s="169">
        <v>43</v>
      </c>
      <c r="E476" s="116">
        <v>2</v>
      </c>
      <c r="F476" s="116">
        <v>3</v>
      </c>
      <c r="G476" s="116">
        <v>12</v>
      </c>
      <c r="H476" s="116">
        <v>5000</v>
      </c>
      <c r="I476" s="116">
        <v>5100</v>
      </c>
      <c r="J476" s="116">
        <v>511</v>
      </c>
      <c r="K476" s="117">
        <v>1535</v>
      </c>
      <c r="L476" s="118" t="s">
        <v>462</v>
      </c>
      <c r="M476" s="119"/>
      <c r="N476" s="120" t="s">
        <v>56</v>
      </c>
      <c r="O476" s="120"/>
      <c r="P476" s="120"/>
    </row>
    <row r="477" spans="1:16" ht="18">
      <c r="B477" s="116">
        <v>2026</v>
      </c>
      <c r="C477" s="116">
        <v>21</v>
      </c>
      <c r="D477" s="169">
        <v>43</v>
      </c>
      <c r="E477" s="116">
        <v>2</v>
      </c>
      <c r="F477" s="116">
        <v>3</v>
      </c>
      <c r="G477" s="116">
        <v>12</v>
      </c>
      <c r="H477" s="116">
        <v>5000</v>
      </c>
      <c r="I477" s="116">
        <v>5100</v>
      </c>
      <c r="J477" s="116">
        <v>511</v>
      </c>
      <c r="K477" s="117">
        <v>1536</v>
      </c>
      <c r="L477" s="118" t="s">
        <v>463</v>
      </c>
      <c r="M477" s="119"/>
      <c r="N477" s="120" t="s">
        <v>56</v>
      </c>
      <c r="O477" s="120"/>
      <c r="P477" s="120"/>
    </row>
    <row r="478" spans="1:16" ht="18">
      <c r="B478" s="116">
        <v>2026</v>
      </c>
      <c r="C478" s="116">
        <v>21</v>
      </c>
      <c r="D478" s="169">
        <v>43</v>
      </c>
      <c r="E478" s="116">
        <v>2</v>
      </c>
      <c r="F478" s="116">
        <v>3</v>
      </c>
      <c r="G478" s="116">
        <v>12</v>
      </c>
      <c r="H478" s="116">
        <v>5000</v>
      </c>
      <c r="I478" s="116">
        <v>5100</v>
      </c>
      <c r="J478" s="116">
        <v>511</v>
      </c>
      <c r="K478" s="117">
        <v>1537</v>
      </c>
      <c r="L478" s="118" t="s">
        <v>464</v>
      </c>
      <c r="M478" s="119"/>
      <c r="N478" s="120" t="s">
        <v>56</v>
      </c>
      <c r="O478" s="120"/>
      <c r="P478" s="120"/>
    </row>
    <row r="479" spans="1:16" ht="18">
      <c r="B479" s="116">
        <v>2026</v>
      </c>
      <c r="C479" s="116">
        <v>21</v>
      </c>
      <c r="D479" s="169">
        <v>43</v>
      </c>
      <c r="E479" s="116">
        <v>2</v>
      </c>
      <c r="F479" s="116">
        <v>3</v>
      </c>
      <c r="G479" s="116">
        <v>12</v>
      </c>
      <c r="H479" s="116">
        <v>5000</v>
      </c>
      <c r="I479" s="116">
        <v>5100</v>
      </c>
      <c r="J479" s="116">
        <v>511</v>
      </c>
      <c r="K479" s="117">
        <v>1538</v>
      </c>
      <c r="L479" s="118" t="s">
        <v>465</v>
      </c>
      <c r="M479" s="119"/>
      <c r="N479" s="120" t="s">
        <v>56</v>
      </c>
      <c r="O479" s="120"/>
      <c r="P479" s="120"/>
    </row>
    <row r="480" spans="1:16" ht="18">
      <c r="B480" s="116">
        <v>2026</v>
      </c>
      <c r="C480" s="116">
        <v>21</v>
      </c>
      <c r="D480" s="169">
        <v>43</v>
      </c>
      <c r="E480" s="116">
        <v>2</v>
      </c>
      <c r="F480" s="116">
        <v>3</v>
      </c>
      <c r="G480" s="116">
        <v>12</v>
      </c>
      <c r="H480" s="116">
        <v>5000</v>
      </c>
      <c r="I480" s="116">
        <v>5100</v>
      </c>
      <c r="J480" s="116">
        <v>511</v>
      </c>
      <c r="K480" s="117">
        <v>1539</v>
      </c>
      <c r="L480" s="118" t="s">
        <v>466</v>
      </c>
      <c r="M480" s="119"/>
      <c r="N480" s="120" t="s">
        <v>56</v>
      </c>
      <c r="O480" s="120"/>
      <c r="P480" s="120"/>
    </row>
    <row r="481" spans="2:16" ht="18">
      <c r="B481" s="116">
        <v>2026</v>
      </c>
      <c r="C481" s="116">
        <v>21</v>
      </c>
      <c r="D481" s="169">
        <v>43</v>
      </c>
      <c r="E481" s="116">
        <v>2</v>
      </c>
      <c r="F481" s="116">
        <v>3</v>
      </c>
      <c r="G481" s="116">
        <v>12</v>
      </c>
      <c r="H481" s="116">
        <v>5000</v>
      </c>
      <c r="I481" s="116">
        <v>5100</v>
      </c>
      <c r="J481" s="116">
        <v>511</v>
      </c>
      <c r="K481" s="117">
        <v>1540</v>
      </c>
      <c r="L481" s="118" t="s">
        <v>467</v>
      </c>
      <c r="M481" s="119"/>
      <c r="N481" s="120" t="s">
        <v>70</v>
      </c>
      <c r="O481" s="120"/>
      <c r="P481" s="120"/>
    </row>
    <row r="482" spans="2:16" ht="18">
      <c r="B482" s="116">
        <v>2026</v>
      </c>
      <c r="C482" s="116">
        <v>21</v>
      </c>
      <c r="D482" s="169">
        <v>43</v>
      </c>
      <c r="E482" s="116">
        <v>2</v>
      </c>
      <c r="F482" s="116">
        <v>3</v>
      </c>
      <c r="G482" s="116">
        <v>12</v>
      </c>
      <c r="H482" s="116">
        <v>5000</v>
      </c>
      <c r="I482" s="116">
        <v>5100</v>
      </c>
      <c r="J482" s="116">
        <v>511</v>
      </c>
      <c r="K482" s="117">
        <v>1541</v>
      </c>
      <c r="L482" s="118" t="s">
        <v>468</v>
      </c>
      <c r="M482" s="119"/>
      <c r="N482" s="120" t="s">
        <v>56</v>
      </c>
      <c r="O482" s="120"/>
      <c r="P482" s="120"/>
    </row>
    <row r="483" spans="2:16" ht="18">
      <c r="B483" s="116">
        <v>2026</v>
      </c>
      <c r="C483" s="116">
        <v>21</v>
      </c>
      <c r="D483" s="169">
        <v>43</v>
      </c>
      <c r="E483" s="116">
        <v>2</v>
      </c>
      <c r="F483" s="116">
        <v>3</v>
      </c>
      <c r="G483" s="116">
        <v>12</v>
      </c>
      <c r="H483" s="116">
        <v>5000</v>
      </c>
      <c r="I483" s="116">
        <v>5100</v>
      </c>
      <c r="J483" s="116">
        <v>511</v>
      </c>
      <c r="K483" s="117">
        <v>1542</v>
      </c>
      <c r="L483" s="118" t="s">
        <v>469</v>
      </c>
      <c r="M483" s="119"/>
      <c r="N483" s="120" t="s">
        <v>56</v>
      </c>
      <c r="O483" s="120"/>
      <c r="P483" s="120"/>
    </row>
    <row r="484" spans="2:16" ht="18">
      <c r="B484" s="110">
        <v>2026</v>
      </c>
      <c r="C484" s="110">
        <v>21</v>
      </c>
      <c r="D484" s="168">
        <v>43</v>
      </c>
      <c r="E484" s="110">
        <v>2</v>
      </c>
      <c r="F484" s="110">
        <v>3</v>
      </c>
      <c r="G484" s="110">
        <v>12</v>
      </c>
      <c r="H484" s="110">
        <v>5000</v>
      </c>
      <c r="I484" s="110">
        <v>5100</v>
      </c>
      <c r="J484" s="110">
        <v>512</v>
      </c>
      <c r="K484" s="110"/>
      <c r="L484" s="123" t="s">
        <v>470</v>
      </c>
      <c r="M484" s="112">
        <f>SUBTOTAL(9,M485:M486)</f>
        <v>0</v>
      </c>
      <c r="N484" s="113"/>
      <c r="O484" s="113"/>
      <c r="P484" s="113"/>
    </row>
    <row r="485" spans="2:16" ht="18">
      <c r="B485" s="116">
        <v>2026</v>
      </c>
      <c r="C485" s="116">
        <v>21</v>
      </c>
      <c r="D485" s="169">
        <v>43</v>
      </c>
      <c r="E485" s="116">
        <v>2</v>
      </c>
      <c r="F485" s="116">
        <v>3</v>
      </c>
      <c r="G485" s="116">
        <v>12</v>
      </c>
      <c r="H485" s="116">
        <v>5000</v>
      </c>
      <c r="I485" s="116">
        <v>5100</v>
      </c>
      <c r="J485" s="116">
        <v>512</v>
      </c>
      <c r="K485" s="117">
        <v>1543</v>
      </c>
      <c r="L485" s="118" t="s">
        <v>471</v>
      </c>
      <c r="M485" s="119"/>
      <c r="N485" s="120" t="s">
        <v>56</v>
      </c>
      <c r="O485" s="120"/>
      <c r="P485" s="120"/>
    </row>
    <row r="486" spans="2:16" ht="18">
      <c r="B486" s="116">
        <v>2026</v>
      </c>
      <c r="C486" s="116">
        <v>21</v>
      </c>
      <c r="D486" s="169">
        <v>43</v>
      </c>
      <c r="E486" s="116">
        <v>2</v>
      </c>
      <c r="F486" s="116">
        <v>3</v>
      </c>
      <c r="G486" s="116">
        <v>12</v>
      </c>
      <c r="H486" s="116">
        <v>5000</v>
      </c>
      <c r="I486" s="116">
        <v>5100</v>
      </c>
      <c r="J486" s="116">
        <v>512</v>
      </c>
      <c r="K486" s="117">
        <v>1544</v>
      </c>
      <c r="L486" s="118" t="s">
        <v>472</v>
      </c>
      <c r="M486" s="119"/>
      <c r="N486" s="120" t="s">
        <v>56</v>
      </c>
      <c r="O486" s="120"/>
      <c r="P486" s="120"/>
    </row>
    <row r="487" spans="2:16" ht="18">
      <c r="B487" s="110">
        <v>2026</v>
      </c>
      <c r="C487" s="110">
        <v>21</v>
      </c>
      <c r="D487" s="168">
        <v>43</v>
      </c>
      <c r="E487" s="110">
        <v>2</v>
      </c>
      <c r="F487" s="110">
        <v>3</v>
      </c>
      <c r="G487" s="110">
        <v>12</v>
      </c>
      <c r="H487" s="110">
        <v>5000</v>
      </c>
      <c r="I487" s="110">
        <v>5100</v>
      </c>
      <c r="J487" s="110">
        <v>515</v>
      </c>
      <c r="K487" s="110"/>
      <c r="L487" s="123" t="s">
        <v>186</v>
      </c>
      <c r="M487" s="112">
        <f>SUBTOTAL(9,M488:M501)</f>
        <v>0</v>
      </c>
      <c r="N487" s="113"/>
      <c r="O487" s="113"/>
      <c r="P487" s="113"/>
    </row>
    <row r="488" spans="2:16" ht="18">
      <c r="B488" s="116">
        <v>2026</v>
      </c>
      <c r="C488" s="116">
        <v>21</v>
      </c>
      <c r="D488" s="169">
        <v>43</v>
      </c>
      <c r="E488" s="116">
        <v>2</v>
      </c>
      <c r="F488" s="116">
        <v>3</v>
      </c>
      <c r="G488" s="116">
        <v>12</v>
      </c>
      <c r="H488" s="116">
        <v>5000</v>
      </c>
      <c r="I488" s="116">
        <v>5100</v>
      </c>
      <c r="J488" s="116">
        <v>515</v>
      </c>
      <c r="K488" s="117">
        <v>1545</v>
      </c>
      <c r="L488" s="118" t="s">
        <v>473</v>
      </c>
      <c r="M488" s="119"/>
      <c r="N488" s="120" t="s">
        <v>56</v>
      </c>
      <c r="O488" s="120"/>
      <c r="P488" s="120"/>
    </row>
    <row r="489" spans="2:16" ht="18">
      <c r="B489" s="116">
        <v>2026</v>
      </c>
      <c r="C489" s="116">
        <v>21</v>
      </c>
      <c r="D489" s="169">
        <v>43</v>
      </c>
      <c r="E489" s="116">
        <v>2</v>
      </c>
      <c r="F489" s="116">
        <v>3</v>
      </c>
      <c r="G489" s="116">
        <v>12</v>
      </c>
      <c r="H489" s="116">
        <v>5000</v>
      </c>
      <c r="I489" s="116">
        <v>5100</v>
      </c>
      <c r="J489" s="116">
        <v>515</v>
      </c>
      <c r="K489" s="117">
        <v>1546</v>
      </c>
      <c r="L489" s="118" t="s">
        <v>474</v>
      </c>
      <c r="M489" s="119"/>
      <c r="N489" s="120" t="s">
        <v>56</v>
      </c>
      <c r="O489" s="120"/>
      <c r="P489" s="120"/>
    </row>
    <row r="490" spans="2:16" ht="18">
      <c r="B490" s="116">
        <v>2026</v>
      </c>
      <c r="C490" s="116">
        <v>21</v>
      </c>
      <c r="D490" s="169">
        <v>43</v>
      </c>
      <c r="E490" s="116">
        <v>2</v>
      </c>
      <c r="F490" s="116">
        <v>3</v>
      </c>
      <c r="G490" s="116">
        <v>12</v>
      </c>
      <c r="H490" s="116">
        <v>5000</v>
      </c>
      <c r="I490" s="116">
        <v>5100</v>
      </c>
      <c r="J490" s="116">
        <v>515</v>
      </c>
      <c r="K490" s="117">
        <v>1547</v>
      </c>
      <c r="L490" s="118" t="s">
        <v>475</v>
      </c>
      <c r="M490" s="119"/>
      <c r="N490" s="120" t="s">
        <v>56</v>
      </c>
      <c r="O490" s="120"/>
      <c r="P490" s="120"/>
    </row>
    <row r="491" spans="2:16" ht="18">
      <c r="B491" s="116">
        <v>2026</v>
      </c>
      <c r="C491" s="116">
        <v>21</v>
      </c>
      <c r="D491" s="169">
        <v>43</v>
      </c>
      <c r="E491" s="116">
        <v>2</v>
      </c>
      <c r="F491" s="116">
        <v>3</v>
      </c>
      <c r="G491" s="116">
        <v>12</v>
      </c>
      <c r="H491" s="116">
        <v>5000</v>
      </c>
      <c r="I491" s="116">
        <v>5100</v>
      </c>
      <c r="J491" s="116">
        <v>515</v>
      </c>
      <c r="K491" s="117">
        <v>1548</v>
      </c>
      <c r="L491" s="118" t="s">
        <v>476</v>
      </c>
      <c r="M491" s="119"/>
      <c r="N491" s="120" t="s">
        <v>56</v>
      </c>
      <c r="O491" s="120"/>
      <c r="P491" s="120"/>
    </row>
    <row r="492" spans="2:16" ht="18">
      <c r="B492" s="116">
        <v>2026</v>
      </c>
      <c r="C492" s="116">
        <v>21</v>
      </c>
      <c r="D492" s="169">
        <v>43</v>
      </c>
      <c r="E492" s="116">
        <v>2</v>
      </c>
      <c r="F492" s="116">
        <v>3</v>
      </c>
      <c r="G492" s="116">
        <v>12</v>
      </c>
      <c r="H492" s="116">
        <v>5000</v>
      </c>
      <c r="I492" s="116">
        <v>5100</v>
      </c>
      <c r="J492" s="116">
        <v>515</v>
      </c>
      <c r="K492" s="117">
        <v>1549</v>
      </c>
      <c r="L492" s="118" t="s">
        <v>477</v>
      </c>
      <c r="M492" s="119"/>
      <c r="N492" s="120" t="s">
        <v>56</v>
      </c>
      <c r="O492" s="120"/>
      <c r="P492" s="120"/>
    </row>
    <row r="493" spans="2:16" ht="36">
      <c r="B493" s="116">
        <v>2026</v>
      </c>
      <c r="C493" s="116">
        <v>21</v>
      </c>
      <c r="D493" s="169">
        <v>43</v>
      </c>
      <c r="E493" s="116">
        <v>2</v>
      </c>
      <c r="F493" s="116">
        <v>3</v>
      </c>
      <c r="G493" s="116">
        <v>12</v>
      </c>
      <c r="H493" s="116">
        <v>5000</v>
      </c>
      <c r="I493" s="116">
        <v>5100</v>
      </c>
      <c r="J493" s="116">
        <v>515</v>
      </c>
      <c r="K493" s="117">
        <v>1550</v>
      </c>
      <c r="L493" s="118" t="s">
        <v>478</v>
      </c>
      <c r="M493" s="119"/>
      <c r="N493" s="120" t="s">
        <v>56</v>
      </c>
      <c r="O493" s="120"/>
      <c r="P493" s="120"/>
    </row>
    <row r="494" spans="2:16" ht="18">
      <c r="B494" s="116">
        <v>2026</v>
      </c>
      <c r="C494" s="116">
        <v>21</v>
      </c>
      <c r="D494" s="169">
        <v>43</v>
      </c>
      <c r="E494" s="116">
        <v>2</v>
      </c>
      <c r="F494" s="116">
        <v>3</v>
      </c>
      <c r="G494" s="116">
        <v>12</v>
      </c>
      <c r="H494" s="116">
        <v>5000</v>
      </c>
      <c r="I494" s="116">
        <v>5100</v>
      </c>
      <c r="J494" s="116">
        <v>515</v>
      </c>
      <c r="K494" s="117">
        <v>1551</v>
      </c>
      <c r="L494" s="118" t="s">
        <v>479</v>
      </c>
      <c r="M494" s="119"/>
      <c r="N494" s="120" t="s">
        <v>56</v>
      </c>
      <c r="O494" s="120"/>
      <c r="P494" s="120"/>
    </row>
    <row r="495" spans="2:16" ht="18">
      <c r="B495" s="116">
        <v>2026</v>
      </c>
      <c r="C495" s="116">
        <v>21</v>
      </c>
      <c r="D495" s="169">
        <v>43</v>
      </c>
      <c r="E495" s="116">
        <v>2</v>
      </c>
      <c r="F495" s="116">
        <v>3</v>
      </c>
      <c r="G495" s="116">
        <v>12</v>
      </c>
      <c r="H495" s="116">
        <v>5000</v>
      </c>
      <c r="I495" s="116">
        <v>5100</v>
      </c>
      <c r="J495" s="116">
        <v>515</v>
      </c>
      <c r="K495" s="117">
        <v>1552</v>
      </c>
      <c r="L495" s="118" t="s">
        <v>480</v>
      </c>
      <c r="M495" s="119"/>
      <c r="N495" s="120" t="s">
        <v>56</v>
      </c>
      <c r="O495" s="120"/>
      <c r="P495" s="120"/>
    </row>
    <row r="496" spans="2:16" ht="18">
      <c r="B496" s="116">
        <v>2026</v>
      </c>
      <c r="C496" s="116">
        <v>21</v>
      </c>
      <c r="D496" s="169">
        <v>43</v>
      </c>
      <c r="E496" s="116">
        <v>2</v>
      </c>
      <c r="F496" s="116">
        <v>3</v>
      </c>
      <c r="G496" s="116">
        <v>12</v>
      </c>
      <c r="H496" s="116">
        <v>5000</v>
      </c>
      <c r="I496" s="116">
        <v>5100</v>
      </c>
      <c r="J496" s="116">
        <v>515</v>
      </c>
      <c r="K496" s="117">
        <v>1553</v>
      </c>
      <c r="L496" s="118" t="s">
        <v>481</v>
      </c>
      <c r="M496" s="119"/>
      <c r="N496" s="120" t="s">
        <v>56</v>
      </c>
      <c r="O496" s="120"/>
      <c r="P496" s="120"/>
    </row>
    <row r="497" spans="1:59" ht="18">
      <c r="B497" s="116">
        <v>2026</v>
      </c>
      <c r="C497" s="116">
        <v>21</v>
      </c>
      <c r="D497" s="169">
        <v>43</v>
      </c>
      <c r="E497" s="116">
        <v>2</v>
      </c>
      <c r="F497" s="116">
        <v>3</v>
      </c>
      <c r="G497" s="116">
        <v>12</v>
      </c>
      <c r="H497" s="116">
        <v>5000</v>
      </c>
      <c r="I497" s="116">
        <v>5100</v>
      </c>
      <c r="J497" s="116">
        <v>515</v>
      </c>
      <c r="K497" s="117">
        <v>1554</v>
      </c>
      <c r="L497" s="118" t="s">
        <v>482</v>
      </c>
      <c r="M497" s="119"/>
      <c r="N497" s="120" t="s">
        <v>56</v>
      </c>
      <c r="O497" s="120"/>
      <c r="P497" s="120"/>
    </row>
    <row r="498" spans="1:59" ht="18">
      <c r="B498" s="116">
        <v>2026</v>
      </c>
      <c r="C498" s="116">
        <v>21</v>
      </c>
      <c r="D498" s="169">
        <v>43</v>
      </c>
      <c r="E498" s="116">
        <v>2</v>
      </c>
      <c r="F498" s="116">
        <v>3</v>
      </c>
      <c r="G498" s="116">
        <v>12</v>
      </c>
      <c r="H498" s="116">
        <v>5000</v>
      </c>
      <c r="I498" s="116">
        <v>5100</v>
      </c>
      <c r="J498" s="116">
        <v>515</v>
      </c>
      <c r="K498" s="117">
        <v>1555</v>
      </c>
      <c r="L498" s="118" t="s">
        <v>483</v>
      </c>
      <c r="M498" s="119"/>
      <c r="N498" s="120" t="s">
        <v>56</v>
      </c>
      <c r="O498" s="120"/>
      <c r="P498" s="120"/>
    </row>
    <row r="499" spans="1:59" ht="18">
      <c r="B499" s="116">
        <v>2026</v>
      </c>
      <c r="C499" s="116">
        <v>21</v>
      </c>
      <c r="D499" s="169">
        <v>43</v>
      </c>
      <c r="E499" s="116">
        <v>2</v>
      </c>
      <c r="F499" s="116">
        <v>3</v>
      </c>
      <c r="G499" s="116">
        <v>12</v>
      </c>
      <c r="H499" s="116">
        <v>5000</v>
      </c>
      <c r="I499" s="116">
        <v>5100</v>
      </c>
      <c r="J499" s="116">
        <v>515</v>
      </c>
      <c r="K499" s="117">
        <v>1556</v>
      </c>
      <c r="L499" s="118" t="s">
        <v>484</v>
      </c>
      <c r="M499" s="119"/>
      <c r="N499" s="120" t="s">
        <v>56</v>
      </c>
      <c r="O499" s="120"/>
      <c r="P499" s="120"/>
    </row>
    <row r="500" spans="1:59" ht="18">
      <c r="B500" s="116">
        <v>2026</v>
      </c>
      <c r="C500" s="116">
        <v>21</v>
      </c>
      <c r="D500" s="169">
        <v>43</v>
      </c>
      <c r="E500" s="116">
        <v>2</v>
      </c>
      <c r="F500" s="116">
        <v>3</v>
      </c>
      <c r="G500" s="116">
        <v>12</v>
      </c>
      <c r="H500" s="116">
        <v>5000</v>
      </c>
      <c r="I500" s="116">
        <v>5100</v>
      </c>
      <c r="J500" s="116">
        <v>515</v>
      </c>
      <c r="K500" s="117">
        <v>1557</v>
      </c>
      <c r="L500" s="118" t="s">
        <v>485</v>
      </c>
      <c r="M500" s="119"/>
      <c r="N500" s="120" t="s">
        <v>56</v>
      </c>
      <c r="O500" s="120"/>
      <c r="P500" s="120"/>
    </row>
    <row r="501" spans="1:59" ht="18">
      <c r="B501" s="116">
        <v>2026</v>
      </c>
      <c r="C501" s="116">
        <v>21</v>
      </c>
      <c r="D501" s="169">
        <v>43</v>
      </c>
      <c r="E501" s="116">
        <v>2</v>
      </c>
      <c r="F501" s="116">
        <v>3</v>
      </c>
      <c r="G501" s="116">
        <v>12</v>
      </c>
      <c r="H501" s="116">
        <v>5000</v>
      </c>
      <c r="I501" s="116">
        <v>5100</v>
      </c>
      <c r="J501" s="116">
        <v>515</v>
      </c>
      <c r="K501" s="117">
        <v>1558</v>
      </c>
      <c r="L501" s="118" t="s">
        <v>486</v>
      </c>
      <c r="M501" s="119"/>
      <c r="N501" s="120" t="s">
        <v>56</v>
      </c>
      <c r="O501" s="120"/>
      <c r="P501" s="120"/>
    </row>
    <row r="502" spans="1:59" s="58" customFormat="1" ht="18">
      <c r="A502"/>
      <c r="B502" s="103">
        <v>2026</v>
      </c>
      <c r="C502" s="103">
        <v>21</v>
      </c>
      <c r="D502" s="167">
        <v>43</v>
      </c>
      <c r="E502" s="103">
        <v>2</v>
      </c>
      <c r="F502" s="103">
        <v>3</v>
      </c>
      <c r="G502" s="103">
        <v>12</v>
      </c>
      <c r="H502" s="103">
        <v>5000</v>
      </c>
      <c r="I502" s="103">
        <v>5200</v>
      </c>
      <c r="J502" s="103"/>
      <c r="K502" s="103"/>
      <c r="L502" s="105" t="s">
        <v>214</v>
      </c>
      <c r="M502" s="106">
        <f>+M503</f>
        <v>0</v>
      </c>
      <c r="N502" s="107"/>
      <c r="O502" s="107"/>
      <c r="P502" s="107"/>
    </row>
    <row r="503" spans="1:59" s="148" customFormat="1" ht="18">
      <c r="A503"/>
      <c r="B503" s="110">
        <v>2026</v>
      </c>
      <c r="C503" s="110">
        <v>21</v>
      </c>
      <c r="D503" s="168">
        <v>43</v>
      </c>
      <c r="E503" s="110">
        <v>2</v>
      </c>
      <c r="F503" s="110">
        <v>3</v>
      </c>
      <c r="G503" s="110">
        <v>12</v>
      </c>
      <c r="H503" s="110">
        <v>5000</v>
      </c>
      <c r="I503" s="110">
        <v>5200</v>
      </c>
      <c r="J503" s="110">
        <v>523</v>
      </c>
      <c r="K503" s="110"/>
      <c r="L503" s="123" t="s">
        <v>263</v>
      </c>
      <c r="M503" s="112">
        <f>SUBTOTAL(9,M504:M506)</f>
        <v>0</v>
      </c>
      <c r="N503" s="113"/>
      <c r="O503" s="113"/>
      <c r="P503" s="113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6"/>
      <c r="AW503" s="146"/>
      <c r="AX503" s="146"/>
      <c r="AY503" s="146"/>
      <c r="AZ503" s="147"/>
      <c r="BA503" s="147"/>
      <c r="BB503" s="147"/>
      <c r="BC503" s="147"/>
      <c r="BD503" s="147"/>
      <c r="BE503" s="147"/>
      <c r="BF503" s="147"/>
      <c r="BG503" s="147"/>
    </row>
    <row r="504" spans="1:59" s="148" customFormat="1" ht="18">
      <c r="A504"/>
      <c r="B504" s="116">
        <v>2026</v>
      </c>
      <c r="C504" s="116">
        <v>21</v>
      </c>
      <c r="D504" s="169">
        <v>43</v>
      </c>
      <c r="E504" s="116">
        <v>2</v>
      </c>
      <c r="F504" s="116">
        <v>3</v>
      </c>
      <c r="G504" s="116">
        <v>12</v>
      </c>
      <c r="H504" s="116">
        <v>5000</v>
      </c>
      <c r="I504" s="116">
        <v>5200</v>
      </c>
      <c r="J504" s="116">
        <v>523</v>
      </c>
      <c r="K504" s="117">
        <v>1559</v>
      </c>
      <c r="L504" s="118" t="s">
        <v>487</v>
      </c>
      <c r="M504" s="119"/>
      <c r="N504" s="120" t="s">
        <v>56</v>
      </c>
      <c r="O504" s="120"/>
      <c r="P504" s="120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6"/>
      <c r="AW504" s="146"/>
      <c r="AX504" s="146"/>
      <c r="AY504" s="146"/>
      <c r="AZ504" s="147"/>
      <c r="BA504" s="147"/>
      <c r="BB504" s="147"/>
      <c r="BC504" s="147"/>
      <c r="BD504" s="147"/>
      <c r="BE504" s="147"/>
      <c r="BF504" s="147"/>
      <c r="BG504" s="147"/>
    </row>
    <row r="505" spans="1:59" s="148" customFormat="1" ht="18">
      <c r="A505"/>
      <c r="B505" s="116">
        <v>2026</v>
      </c>
      <c r="C505" s="116">
        <v>21</v>
      </c>
      <c r="D505" s="169">
        <v>43</v>
      </c>
      <c r="E505" s="116">
        <v>2</v>
      </c>
      <c r="F505" s="116">
        <v>3</v>
      </c>
      <c r="G505" s="116">
        <v>12</v>
      </c>
      <c r="H505" s="116">
        <v>5000</v>
      </c>
      <c r="I505" s="116">
        <v>5200</v>
      </c>
      <c r="J505" s="116">
        <v>523</v>
      </c>
      <c r="K505" s="117">
        <v>197</v>
      </c>
      <c r="L505" s="118" t="s">
        <v>488</v>
      </c>
      <c r="M505" s="119"/>
      <c r="N505" s="120" t="s">
        <v>56</v>
      </c>
      <c r="O505" s="120"/>
      <c r="P505" s="120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6"/>
      <c r="AW505" s="146"/>
      <c r="AX505" s="146"/>
      <c r="AY505" s="146"/>
      <c r="AZ505" s="147"/>
      <c r="BA505" s="147"/>
      <c r="BB505" s="147"/>
      <c r="BC505" s="147"/>
      <c r="BD505" s="147"/>
      <c r="BE505" s="147"/>
      <c r="BF505" s="147"/>
      <c r="BG505" s="147"/>
    </row>
    <row r="506" spans="1:59" s="149" customFormat="1" ht="18">
      <c r="A506"/>
      <c r="B506" s="116">
        <v>2026</v>
      </c>
      <c r="C506" s="116">
        <v>21</v>
      </c>
      <c r="D506" s="169">
        <v>43</v>
      </c>
      <c r="E506" s="116">
        <v>2</v>
      </c>
      <c r="F506" s="116">
        <v>3</v>
      </c>
      <c r="G506" s="116">
        <v>12</v>
      </c>
      <c r="H506" s="116">
        <v>5000</v>
      </c>
      <c r="I506" s="116">
        <v>5200</v>
      </c>
      <c r="J506" s="116">
        <v>523</v>
      </c>
      <c r="K506" s="117">
        <v>258</v>
      </c>
      <c r="L506" s="118" t="s">
        <v>489</v>
      </c>
      <c r="M506" s="119"/>
      <c r="N506" s="120" t="s">
        <v>56</v>
      </c>
      <c r="O506" s="120"/>
      <c r="P506" s="120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6"/>
      <c r="AW506" s="146"/>
      <c r="AX506" s="146"/>
      <c r="AY506" s="146"/>
      <c r="AZ506" s="147"/>
      <c r="BA506" s="147"/>
      <c r="BB506" s="147"/>
      <c r="BC506" s="147"/>
      <c r="BD506" s="147"/>
      <c r="BE506" s="147"/>
      <c r="BF506" s="147"/>
      <c r="BG506" s="147"/>
    </row>
    <row r="507" spans="1:59" s="148" customFormat="1" ht="18">
      <c r="A507"/>
      <c r="B507" s="103">
        <v>2026</v>
      </c>
      <c r="C507" s="103">
        <v>21</v>
      </c>
      <c r="D507" s="167">
        <v>43</v>
      </c>
      <c r="E507" s="103">
        <v>2</v>
      </c>
      <c r="F507" s="103">
        <v>3</v>
      </c>
      <c r="G507" s="103">
        <v>12</v>
      </c>
      <c r="H507" s="103">
        <v>5000</v>
      </c>
      <c r="I507" s="103">
        <v>5400</v>
      </c>
      <c r="J507" s="103"/>
      <c r="K507" s="103"/>
      <c r="L507" s="105" t="s">
        <v>268</v>
      </c>
      <c r="M507" s="106">
        <f>+M508</f>
        <v>0</v>
      </c>
      <c r="N507" s="107"/>
      <c r="O507" s="107"/>
      <c r="P507" s="107"/>
      <c r="Q507" s="150"/>
      <c r="R507" s="150"/>
      <c r="S507" s="146"/>
      <c r="T507" s="150"/>
      <c r="U507" s="150"/>
      <c r="V507" s="146"/>
      <c r="W507" s="146"/>
      <c r="X507" s="150"/>
      <c r="Y507" s="150"/>
      <c r="Z507" s="146"/>
      <c r="AA507" s="150"/>
      <c r="AB507" s="150"/>
      <c r="AC507" s="146"/>
      <c r="AD507" s="146"/>
      <c r="AE507" s="150"/>
      <c r="AF507" s="150"/>
      <c r="AG507" s="146"/>
      <c r="AH507" s="150"/>
      <c r="AI507" s="150"/>
      <c r="AJ507" s="146"/>
      <c r="AK507" s="146"/>
      <c r="AL507" s="150"/>
      <c r="AM507" s="150"/>
      <c r="AN507" s="146"/>
      <c r="AO507" s="150"/>
      <c r="AP507" s="150"/>
      <c r="AQ507" s="146"/>
      <c r="AR507" s="146"/>
      <c r="AS507" s="151"/>
      <c r="AT507" s="151"/>
      <c r="AU507" s="146"/>
      <c r="AV507" s="151"/>
      <c r="AW507" s="151"/>
      <c r="AX507" s="146"/>
      <c r="AY507" s="146"/>
      <c r="AZ507" s="152"/>
      <c r="BA507" s="152"/>
      <c r="BB507" s="153"/>
      <c r="BC507" s="153"/>
      <c r="BD507" s="153"/>
      <c r="BE507" s="153"/>
      <c r="BF507" s="152"/>
      <c r="BG507" s="152"/>
    </row>
    <row r="508" spans="1:59" s="148" customFormat="1" ht="18">
      <c r="A508"/>
      <c r="B508" s="110">
        <v>2026</v>
      </c>
      <c r="C508" s="110">
        <v>21</v>
      </c>
      <c r="D508" s="168">
        <v>43</v>
      </c>
      <c r="E508" s="110">
        <v>2</v>
      </c>
      <c r="F508" s="110">
        <v>3</v>
      </c>
      <c r="G508" s="110">
        <v>12</v>
      </c>
      <c r="H508" s="110">
        <v>5000</v>
      </c>
      <c r="I508" s="110">
        <v>5400</v>
      </c>
      <c r="J508" s="110">
        <v>541</v>
      </c>
      <c r="K508" s="110"/>
      <c r="L508" s="123" t="s">
        <v>269</v>
      </c>
      <c r="M508" s="112">
        <f>SUBTOTAL(9,M509:M515)</f>
        <v>0</v>
      </c>
      <c r="N508" s="113"/>
      <c r="O508" s="113"/>
      <c r="P508" s="113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6"/>
      <c r="AW508" s="146"/>
      <c r="AX508" s="146"/>
      <c r="AY508" s="146"/>
      <c r="AZ508" s="147"/>
      <c r="BA508" s="147"/>
      <c r="BB508" s="147"/>
      <c r="BC508" s="147"/>
      <c r="BD508" s="147"/>
      <c r="BE508" s="147"/>
      <c r="BF508" s="147"/>
      <c r="BG508" s="147"/>
    </row>
    <row r="509" spans="1:59" s="148" customFormat="1" ht="18">
      <c r="A509"/>
      <c r="B509" s="116">
        <v>2026</v>
      </c>
      <c r="C509" s="116">
        <v>21</v>
      </c>
      <c r="D509" s="169">
        <v>43</v>
      </c>
      <c r="E509" s="116">
        <v>2</v>
      </c>
      <c r="F509" s="116">
        <v>3</v>
      </c>
      <c r="G509" s="116">
        <v>12</v>
      </c>
      <c r="H509" s="116">
        <v>5000</v>
      </c>
      <c r="I509" s="116">
        <v>5400</v>
      </c>
      <c r="J509" s="116">
        <v>541</v>
      </c>
      <c r="K509" s="117">
        <v>145</v>
      </c>
      <c r="L509" s="118" t="s">
        <v>490</v>
      </c>
      <c r="M509" s="119"/>
      <c r="N509" s="120" t="s">
        <v>56</v>
      </c>
      <c r="O509" s="120"/>
      <c r="P509" s="120"/>
      <c r="Q509" s="150"/>
      <c r="R509" s="150"/>
      <c r="S509" s="146"/>
      <c r="T509" s="150"/>
      <c r="U509" s="150"/>
      <c r="V509" s="146"/>
      <c r="W509" s="146"/>
      <c r="X509" s="150"/>
      <c r="Y509" s="150"/>
      <c r="Z509" s="146"/>
      <c r="AA509" s="150"/>
      <c r="AB509" s="150"/>
      <c r="AC509" s="146"/>
      <c r="AD509" s="146"/>
      <c r="AE509" s="150"/>
      <c r="AF509" s="150"/>
      <c r="AG509" s="146"/>
      <c r="AH509" s="150"/>
      <c r="AI509" s="150"/>
      <c r="AJ509" s="146"/>
      <c r="AK509" s="146"/>
      <c r="AL509" s="150"/>
      <c r="AM509" s="150"/>
      <c r="AN509" s="146"/>
      <c r="AO509" s="150"/>
      <c r="AP509" s="150"/>
      <c r="AQ509" s="146"/>
      <c r="AR509" s="146"/>
      <c r="AS509" s="151"/>
      <c r="AT509" s="151"/>
      <c r="AU509" s="146"/>
      <c r="AV509" s="151"/>
      <c r="AW509" s="151"/>
      <c r="AX509" s="146"/>
      <c r="AY509" s="146"/>
      <c r="AZ509" s="152"/>
      <c r="BA509" s="152"/>
      <c r="BB509" s="153"/>
      <c r="BC509" s="153"/>
      <c r="BD509" s="153"/>
      <c r="BE509" s="153"/>
      <c r="BF509" s="152"/>
      <c r="BG509" s="152"/>
    </row>
    <row r="510" spans="1:59" s="148" customFormat="1" ht="18">
      <c r="A510"/>
      <c r="B510" s="116">
        <v>2026</v>
      </c>
      <c r="C510" s="116">
        <v>21</v>
      </c>
      <c r="D510" s="169">
        <v>43</v>
      </c>
      <c r="E510" s="116">
        <v>2</v>
      </c>
      <c r="F510" s="116">
        <v>3</v>
      </c>
      <c r="G510" s="116">
        <v>12</v>
      </c>
      <c r="H510" s="116">
        <v>5000</v>
      </c>
      <c r="I510" s="116">
        <v>5400</v>
      </c>
      <c r="J510" s="116">
        <v>541</v>
      </c>
      <c r="K510" s="117">
        <v>410</v>
      </c>
      <c r="L510" s="118" t="s">
        <v>491</v>
      </c>
      <c r="M510" s="119"/>
      <c r="N510" s="120" t="s">
        <v>56</v>
      </c>
      <c r="O510" s="120"/>
      <c r="P510" s="120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6"/>
      <c r="AW510" s="146"/>
      <c r="AX510" s="146"/>
      <c r="AY510" s="146"/>
      <c r="AZ510" s="147"/>
      <c r="BA510" s="147"/>
      <c r="BB510" s="147"/>
      <c r="BC510" s="147"/>
      <c r="BD510" s="147"/>
      <c r="BE510" s="147"/>
      <c r="BF510" s="147"/>
      <c r="BG510" s="147"/>
    </row>
    <row r="511" spans="1:59" s="148" customFormat="1" ht="18">
      <c r="A511"/>
      <c r="B511" s="116">
        <v>2026</v>
      </c>
      <c r="C511" s="116">
        <v>21</v>
      </c>
      <c r="D511" s="169">
        <v>43</v>
      </c>
      <c r="E511" s="116">
        <v>2</v>
      </c>
      <c r="F511" s="116">
        <v>3</v>
      </c>
      <c r="G511" s="116">
        <v>12</v>
      </c>
      <c r="H511" s="116">
        <v>5000</v>
      </c>
      <c r="I511" s="116">
        <v>5400</v>
      </c>
      <c r="J511" s="116">
        <v>541</v>
      </c>
      <c r="K511" s="117">
        <v>1000</v>
      </c>
      <c r="L511" s="118" t="s">
        <v>492</v>
      </c>
      <c r="M511" s="119"/>
      <c r="N511" s="120" t="s">
        <v>56</v>
      </c>
      <c r="O511" s="120"/>
      <c r="P511" s="120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6"/>
      <c r="AW511" s="146"/>
      <c r="AX511" s="146"/>
      <c r="AY511" s="146"/>
      <c r="AZ511" s="147"/>
      <c r="BA511" s="147"/>
      <c r="BB511" s="147"/>
      <c r="BC511" s="147"/>
      <c r="BD511" s="147"/>
      <c r="BE511" s="147"/>
      <c r="BF511" s="147"/>
      <c r="BG511" s="147"/>
    </row>
    <row r="512" spans="1:59" s="149" customFormat="1" ht="36">
      <c r="A512"/>
      <c r="B512" s="116">
        <v>2026</v>
      </c>
      <c r="C512" s="116">
        <v>21</v>
      </c>
      <c r="D512" s="169">
        <v>43</v>
      </c>
      <c r="E512" s="116">
        <v>2</v>
      </c>
      <c r="F512" s="116">
        <v>3</v>
      </c>
      <c r="G512" s="116">
        <v>12</v>
      </c>
      <c r="H512" s="116">
        <v>5000</v>
      </c>
      <c r="I512" s="116">
        <v>5400</v>
      </c>
      <c r="J512" s="116">
        <v>541</v>
      </c>
      <c r="K512" s="117">
        <v>1070</v>
      </c>
      <c r="L512" s="118" t="s">
        <v>493</v>
      </c>
      <c r="M512" s="119"/>
      <c r="N512" s="120" t="s">
        <v>56</v>
      </c>
      <c r="O512" s="120"/>
      <c r="P512" s="120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6"/>
      <c r="AW512" s="146"/>
      <c r="AX512" s="146"/>
      <c r="AY512" s="146"/>
      <c r="AZ512" s="147"/>
      <c r="BA512" s="147"/>
      <c r="BB512" s="147"/>
      <c r="BC512" s="147"/>
      <c r="BD512" s="147"/>
      <c r="BE512" s="147"/>
      <c r="BF512" s="147"/>
      <c r="BG512" s="147"/>
    </row>
    <row r="513" spans="1:59" s="148" customFormat="1" ht="36">
      <c r="A513"/>
      <c r="B513" s="116">
        <v>2026</v>
      </c>
      <c r="C513" s="116">
        <v>21</v>
      </c>
      <c r="D513" s="169">
        <v>43</v>
      </c>
      <c r="E513" s="116">
        <v>2</v>
      </c>
      <c r="F513" s="116">
        <v>3</v>
      </c>
      <c r="G513" s="116">
        <v>12</v>
      </c>
      <c r="H513" s="116">
        <v>5000</v>
      </c>
      <c r="I513" s="116">
        <v>5400</v>
      </c>
      <c r="J513" s="116">
        <v>541</v>
      </c>
      <c r="K513" s="117">
        <v>1257</v>
      </c>
      <c r="L513" s="118" t="s">
        <v>494</v>
      </c>
      <c r="M513" s="119"/>
      <c r="N513" s="120" t="s">
        <v>56</v>
      </c>
      <c r="O513" s="120"/>
      <c r="P513" s="120"/>
      <c r="Q513" s="150"/>
      <c r="R513" s="150"/>
      <c r="S513" s="146"/>
      <c r="T513" s="150"/>
      <c r="U513" s="150"/>
      <c r="V513" s="146"/>
      <c r="W513" s="146"/>
      <c r="X513" s="150"/>
      <c r="Y513" s="150"/>
      <c r="Z513" s="146"/>
      <c r="AA513" s="150"/>
      <c r="AB513" s="150"/>
      <c r="AC513" s="146"/>
      <c r="AD513" s="146"/>
      <c r="AE513" s="150"/>
      <c r="AF513" s="150"/>
      <c r="AG513" s="146"/>
      <c r="AH513" s="150"/>
      <c r="AI513" s="150"/>
      <c r="AJ513" s="146"/>
      <c r="AK513" s="146"/>
      <c r="AL513" s="150"/>
      <c r="AM513" s="150"/>
      <c r="AN513" s="146"/>
      <c r="AO513" s="150"/>
      <c r="AP513" s="150"/>
      <c r="AQ513" s="146"/>
      <c r="AR513" s="146"/>
      <c r="AS513" s="151"/>
      <c r="AT513" s="151"/>
      <c r="AU513" s="146"/>
      <c r="AV513" s="151"/>
      <c r="AW513" s="151"/>
      <c r="AX513" s="146"/>
      <c r="AY513" s="146"/>
      <c r="AZ513" s="152"/>
      <c r="BA513" s="152"/>
      <c r="BB513" s="153"/>
      <c r="BC513" s="153"/>
      <c r="BD513" s="153"/>
      <c r="BE513" s="153"/>
      <c r="BF513" s="152"/>
      <c r="BG513" s="152"/>
    </row>
    <row r="514" spans="1:59" s="149" customFormat="1" ht="36">
      <c r="A514"/>
      <c r="B514" s="116">
        <v>2026</v>
      </c>
      <c r="C514" s="116">
        <v>21</v>
      </c>
      <c r="D514" s="169">
        <v>43</v>
      </c>
      <c r="E514" s="116">
        <v>2</v>
      </c>
      <c r="F514" s="116">
        <v>3</v>
      </c>
      <c r="G514" s="116">
        <v>12</v>
      </c>
      <c r="H514" s="116">
        <v>5000</v>
      </c>
      <c r="I514" s="116">
        <v>5400</v>
      </c>
      <c r="J514" s="116">
        <v>541</v>
      </c>
      <c r="K514" s="117">
        <v>1493</v>
      </c>
      <c r="L514" s="118" t="s">
        <v>495</v>
      </c>
      <c r="M514" s="119"/>
      <c r="N514" s="120" t="s">
        <v>56</v>
      </c>
      <c r="O514" s="120"/>
      <c r="P514" s="120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6"/>
      <c r="AW514" s="146"/>
      <c r="AX514" s="146"/>
      <c r="AY514" s="146"/>
      <c r="AZ514" s="147"/>
      <c r="BA514" s="147"/>
      <c r="BB514" s="147"/>
      <c r="BC514" s="147"/>
      <c r="BD514" s="147"/>
      <c r="BE514" s="147"/>
      <c r="BF514" s="147"/>
      <c r="BG514" s="147"/>
    </row>
    <row r="515" spans="1:59" s="148" customFormat="1" ht="72" customHeight="1">
      <c r="A515"/>
      <c r="B515" s="116">
        <v>2026</v>
      </c>
      <c r="C515" s="116">
        <v>21</v>
      </c>
      <c r="D515" s="169">
        <v>43</v>
      </c>
      <c r="E515" s="116">
        <v>2</v>
      </c>
      <c r="F515" s="116">
        <v>3</v>
      </c>
      <c r="G515" s="116">
        <v>12</v>
      </c>
      <c r="H515" s="116">
        <v>5000</v>
      </c>
      <c r="I515" s="116">
        <v>5400</v>
      </c>
      <c r="J515" s="116">
        <v>541</v>
      </c>
      <c r="K515" s="117">
        <v>222</v>
      </c>
      <c r="L515" s="118" t="s">
        <v>496</v>
      </c>
      <c r="M515" s="119"/>
      <c r="N515" s="120" t="s">
        <v>56</v>
      </c>
      <c r="O515" s="120"/>
      <c r="P515" s="120"/>
      <c r="Q515" s="150"/>
      <c r="R515" s="150"/>
      <c r="S515" s="146"/>
      <c r="T515" s="150"/>
      <c r="U515" s="150"/>
      <c r="V515" s="146"/>
      <c r="W515" s="146"/>
      <c r="X515" s="150"/>
      <c r="Y515" s="150"/>
      <c r="Z515" s="146"/>
      <c r="AA515" s="150"/>
      <c r="AB515" s="150"/>
      <c r="AC515" s="146"/>
      <c r="AD515" s="146"/>
      <c r="AE515" s="150"/>
      <c r="AF515" s="150"/>
      <c r="AG515" s="146"/>
      <c r="AH515" s="150"/>
      <c r="AI515" s="150"/>
      <c r="AJ515" s="146"/>
      <c r="AK515" s="146"/>
      <c r="AL515" s="150"/>
      <c r="AM515" s="150"/>
      <c r="AN515" s="146"/>
      <c r="AO515" s="150"/>
      <c r="AP515" s="150"/>
      <c r="AQ515" s="146"/>
      <c r="AR515" s="146"/>
      <c r="AS515" s="151"/>
      <c r="AT515" s="151"/>
      <c r="AU515" s="146"/>
      <c r="AV515" s="151"/>
      <c r="AW515" s="151"/>
      <c r="AX515" s="146"/>
      <c r="AY515" s="146"/>
      <c r="AZ515" s="152"/>
      <c r="BA515" s="152"/>
      <c r="BB515" s="153"/>
      <c r="BC515" s="153"/>
      <c r="BD515" s="153"/>
      <c r="BE515" s="153"/>
      <c r="BF515" s="152"/>
      <c r="BG515" s="152"/>
    </row>
    <row r="516" spans="1:59" s="149" customFormat="1" ht="18">
      <c r="A516"/>
      <c r="B516" s="103">
        <v>2026</v>
      </c>
      <c r="C516" s="103">
        <v>21</v>
      </c>
      <c r="D516" s="167">
        <v>43</v>
      </c>
      <c r="E516" s="103">
        <v>2</v>
      </c>
      <c r="F516" s="103">
        <v>3</v>
      </c>
      <c r="G516" s="103">
        <v>12</v>
      </c>
      <c r="H516" s="103">
        <v>5000</v>
      </c>
      <c r="I516" s="103">
        <v>5500</v>
      </c>
      <c r="J516" s="103"/>
      <c r="K516" s="103"/>
      <c r="L516" s="105" t="s">
        <v>275</v>
      </c>
      <c r="M516" s="106">
        <f>+M517</f>
        <v>0</v>
      </c>
      <c r="N516" s="107"/>
      <c r="O516" s="107"/>
      <c r="P516" s="107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6"/>
      <c r="AW516" s="146"/>
      <c r="AX516" s="146"/>
      <c r="AY516" s="146"/>
      <c r="AZ516" s="147"/>
      <c r="BA516" s="147"/>
      <c r="BB516" s="147"/>
      <c r="BC516" s="147"/>
      <c r="BD516" s="147"/>
      <c r="BE516" s="147"/>
      <c r="BF516" s="147"/>
      <c r="BG516" s="147"/>
    </row>
    <row r="517" spans="1:59" s="148" customFormat="1" ht="18">
      <c r="A517"/>
      <c r="B517" s="110">
        <v>2026</v>
      </c>
      <c r="C517" s="110">
        <v>21</v>
      </c>
      <c r="D517" s="168">
        <v>43</v>
      </c>
      <c r="E517" s="110">
        <v>2</v>
      </c>
      <c r="F517" s="110">
        <v>3</v>
      </c>
      <c r="G517" s="110">
        <v>12</v>
      </c>
      <c r="H517" s="110">
        <v>5000</v>
      </c>
      <c r="I517" s="110">
        <v>5500</v>
      </c>
      <c r="J517" s="110">
        <v>551</v>
      </c>
      <c r="K517" s="110"/>
      <c r="L517" s="123" t="s">
        <v>276</v>
      </c>
      <c r="M517" s="112">
        <f>SUBTOTAL(9,M518:M519)</f>
        <v>0</v>
      </c>
      <c r="N517" s="113"/>
      <c r="O517" s="113"/>
      <c r="P517" s="113"/>
      <c r="Q517" s="150"/>
      <c r="R517" s="150"/>
      <c r="S517" s="146"/>
      <c r="T517" s="150"/>
      <c r="U517" s="150"/>
      <c r="V517" s="146"/>
      <c r="W517" s="146"/>
      <c r="X517" s="150"/>
      <c r="Y517" s="150"/>
      <c r="Z517" s="146"/>
      <c r="AA517" s="150"/>
      <c r="AB517" s="150"/>
      <c r="AC517" s="146"/>
      <c r="AD517" s="146"/>
      <c r="AE517" s="150"/>
      <c r="AF517" s="150"/>
      <c r="AG517" s="146"/>
      <c r="AH517" s="150"/>
      <c r="AI517" s="150"/>
      <c r="AJ517" s="146"/>
      <c r="AK517" s="146"/>
      <c r="AL517" s="150"/>
      <c r="AM517" s="150"/>
      <c r="AN517" s="146"/>
      <c r="AO517" s="150"/>
      <c r="AP517" s="150"/>
      <c r="AQ517" s="146"/>
      <c r="AR517" s="146"/>
      <c r="AS517" s="151"/>
      <c r="AT517" s="151"/>
      <c r="AU517" s="146"/>
      <c r="AV517" s="151"/>
      <c r="AW517" s="151"/>
      <c r="AX517" s="146"/>
      <c r="AY517" s="146"/>
      <c r="AZ517" s="152"/>
      <c r="BA517" s="152"/>
      <c r="BB517" s="153"/>
      <c r="BC517" s="153"/>
      <c r="BD517" s="153"/>
      <c r="BE517" s="153"/>
      <c r="BF517" s="152"/>
      <c r="BG517" s="152"/>
    </row>
    <row r="518" spans="1:59" s="149" customFormat="1" ht="18">
      <c r="A518"/>
      <c r="B518" s="116">
        <v>2026</v>
      </c>
      <c r="C518" s="116">
        <v>21</v>
      </c>
      <c r="D518" s="169">
        <v>43</v>
      </c>
      <c r="E518" s="116">
        <v>2</v>
      </c>
      <c r="F518" s="116">
        <v>3</v>
      </c>
      <c r="G518" s="116">
        <v>12</v>
      </c>
      <c r="H518" s="116">
        <v>5000</v>
      </c>
      <c r="I518" s="116">
        <v>5500</v>
      </c>
      <c r="J518" s="116">
        <v>551</v>
      </c>
      <c r="K518" s="117">
        <v>65</v>
      </c>
      <c r="L518" s="118" t="s">
        <v>497</v>
      </c>
      <c r="M518" s="119"/>
      <c r="N518" s="120" t="s">
        <v>56</v>
      </c>
      <c r="O518" s="120"/>
      <c r="P518" s="120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6"/>
      <c r="AW518" s="146"/>
      <c r="AX518" s="146"/>
      <c r="AY518" s="146"/>
      <c r="AZ518" s="147"/>
      <c r="BA518" s="147"/>
      <c r="BB518" s="147"/>
      <c r="BC518" s="147"/>
      <c r="BD518" s="147"/>
      <c r="BE518" s="147"/>
      <c r="BF518" s="147"/>
      <c r="BG518" s="147"/>
    </row>
    <row r="519" spans="1:59" s="148" customFormat="1" ht="18">
      <c r="A519"/>
      <c r="B519" s="116">
        <v>2026</v>
      </c>
      <c r="C519" s="116">
        <v>21</v>
      </c>
      <c r="D519" s="169">
        <v>43</v>
      </c>
      <c r="E519" s="116">
        <v>2</v>
      </c>
      <c r="F519" s="116">
        <v>3</v>
      </c>
      <c r="G519" s="116">
        <v>12</v>
      </c>
      <c r="H519" s="116">
        <v>5000</v>
      </c>
      <c r="I519" s="116">
        <v>5500</v>
      </c>
      <c r="J519" s="116">
        <v>551</v>
      </c>
      <c r="K519" s="117">
        <v>69</v>
      </c>
      <c r="L519" s="118" t="s">
        <v>498</v>
      </c>
      <c r="M519" s="119"/>
      <c r="N519" s="120" t="s">
        <v>56</v>
      </c>
      <c r="O519" s="120"/>
      <c r="P519" s="120"/>
      <c r="Q519" s="150"/>
      <c r="R519" s="150"/>
      <c r="S519" s="146"/>
      <c r="T519" s="150"/>
      <c r="U519" s="150"/>
      <c r="V519" s="146"/>
      <c r="W519" s="146"/>
      <c r="X519" s="150"/>
      <c r="Y519" s="150"/>
      <c r="Z519" s="146"/>
      <c r="AA519" s="150"/>
      <c r="AB519" s="150"/>
      <c r="AC519" s="146"/>
      <c r="AD519" s="146"/>
      <c r="AE519" s="150"/>
      <c r="AF519" s="150"/>
      <c r="AG519" s="146"/>
      <c r="AH519" s="150"/>
      <c r="AI519" s="150"/>
      <c r="AJ519" s="146"/>
      <c r="AK519" s="146"/>
      <c r="AL519" s="150"/>
      <c r="AM519" s="150"/>
      <c r="AN519" s="146"/>
      <c r="AO519" s="150"/>
      <c r="AP519" s="150"/>
      <c r="AQ519" s="146"/>
      <c r="AR519" s="146"/>
      <c r="AS519" s="151"/>
      <c r="AT519" s="151"/>
      <c r="AU519" s="146"/>
      <c r="AV519" s="151"/>
      <c r="AW519" s="151"/>
      <c r="AX519" s="146"/>
      <c r="AY519" s="146"/>
      <c r="AZ519" s="152"/>
      <c r="BA519" s="152"/>
      <c r="BB519" s="153"/>
      <c r="BC519" s="153"/>
      <c r="BD519" s="153"/>
      <c r="BE519" s="153"/>
      <c r="BF519" s="152"/>
      <c r="BG519" s="152"/>
    </row>
    <row r="520" spans="1:59" s="149" customFormat="1" ht="18">
      <c r="A520"/>
      <c r="B520" s="103">
        <v>2026</v>
      </c>
      <c r="C520" s="103">
        <v>21</v>
      </c>
      <c r="D520" s="167">
        <v>43</v>
      </c>
      <c r="E520" s="103">
        <v>2</v>
      </c>
      <c r="F520" s="103">
        <v>3</v>
      </c>
      <c r="G520" s="103">
        <v>12</v>
      </c>
      <c r="H520" s="103">
        <v>5000</v>
      </c>
      <c r="I520" s="103">
        <v>5700</v>
      </c>
      <c r="J520" s="103"/>
      <c r="K520" s="103"/>
      <c r="L520" s="105" t="s">
        <v>499</v>
      </c>
      <c r="M520" s="106">
        <f>+M521</f>
        <v>0</v>
      </c>
      <c r="N520" s="107"/>
      <c r="O520" s="107"/>
      <c r="P520" s="107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6"/>
      <c r="AW520" s="146"/>
      <c r="AX520" s="146"/>
      <c r="AY520" s="146"/>
      <c r="AZ520" s="147"/>
      <c r="BA520" s="147"/>
      <c r="BB520" s="147"/>
      <c r="BC520" s="147"/>
      <c r="BD520" s="147"/>
      <c r="BE520" s="147"/>
      <c r="BF520" s="147"/>
      <c r="BG520" s="147"/>
    </row>
    <row r="521" spans="1:59" s="148" customFormat="1" ht="18">
      <c r="A521"/>
      <c r="B521" s="110">
        <v>2026</v>
      </c>
      <c r="C521" s="110">
        <v>21</v>
      </c>
      <c r="D521" s="168">
        <v>43</v>
      </c>
      <c r="E521" s="110">
        <v>2</v>
      </c>
      <c r="F521" s="110">
        <v>3</v>
      </c>
      <c r="G521" s="110">
        <v>12</v>
      </c>
      <c r="H521" s="110">
        <v>5000</v>
      </c>
      <c r="I521" s="110">
        <v>5700</v>
      </c>
      <c r="J521" s="110">
        <v>577</v>
      </c>
      <c r="K521" s="110"/>
      <c r="L521" s="123" t="s">
        <v>500</v>
      </c>
      <c r="M521" s="112">
        <f>+M522</f>
        <v>0</v>
      </c>
      <c r="N521" s="113"/>
      <c r="O521" s="113"/>
      <c r="P521" s="113"/>
      <c r="Q521" s="150"/>
      <c r="R521" s="150"/>
      <c r="S521" s="146"/>
      <c r="T521" s="150"/>
      <c r="U521" s="150"/>
      <c r="V521" s="146"/>
      <c r="W521" s="146"/>
      <c r="X521" s="150"/>
      <c r="Y521" s="150"/>
      <c r="Z521" s="146"/>
      <c r="AA521" s="150"/>
      <c r="AB521" s="150"/>
      <c r="AC521" s="146"/>
      <c r="AD521" s="146"/>
      <c r="AE521" s="150"/>
      <c r="AF521" s="150"/>
      <c r="AG521" s="146"/>
      <c r="AH521" s="150"/>
      <c r="AI521" s="150"/>
      <c r="AJ521" s="146"/>
      <c r="AK521" s="146"/>
      <c r="AL521" s="150"/>
      <c r="AM521" s="150"/>
      <c r="AN521" s="146"/>
      <c r="AO521" s="150"/>
      <c r="AP521" s="150"/>
      <c r="AQ521" s="146"/>
      <c r="AR521" s="146"/>
      <c r="AS521" s="151"/>
      <c r="AT521" s="151"/>
      <c r="AU521" s="146"/>
      <c r="AV521" s="151"/>
      <c r="AW521" s="151"/>
      <c r="AX521" s="146"/>
      <c r="AY521" s="146"/>
      <c r="AZ521" s="152"/>
      <c r="BA521" s="152"/>
      <c r="BB521" s="153"/>
      <c r="BC521" s="153"/>
      <c r="BD521" s="153"/>
      <c r="BE521" s="153"/>
      <c r="BF521" s="152"/>
      <c r="BG521" s="152"/>
    </row>
    <row r="522" spans="1:59" s="148" customFormat="1" ht="18">
      <c r="A522"/>
      <c r="B522" s="116">
        <v>2026</v>
      </c>
      <c r="C522" s="116">
        <v>21</v>
      </c>
      <c r="D522" s="169">
        <v>43</v>
      </c>
      <c r="E522" s="116">
        <v>2</v>
      </c>
      <c r="F522" s="116">
        <v>3</v>
      </c>
      <c r="G522" s="116">
        <v>12</v>
      </c>
      <c r="H522" s="116">
        <v>5000</v>
      </c>
      <c r="I522" s="116">
        <v>5700</v>
      </c>
      <c r="J522" s="116">
        <v>577</v>
      </c>
      <c r="K522" s="117">
        <v>38</v>
      </c>
      <c r="L522" s="118" t="s">
        <v>501</v>
      </c>
      <c r="M522" s="119"/>
      <c r="N522" s="120" t="s">
        <v>56</v>
      </c>
      <c r="O522" s="120"/>
      <c r="P522" s="120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6"/>
      <c r="AW522" s="146"/>
      <c r="AX522" s="146"/>
      <c r="AY522" s="146"/>
      <c r="AZ522" s="147"/>
      <c r="BA522" s="147"/>
      <c r="BB522" s="147"/>
      <c r="BC522" s="147"/>
      <c r="BD522" s="147"/>
      <c r="BE522" s="147"/>
      <c r="BF522" s="147"/>
      <c r="BG522" s="147"/>
    </row>
    <row r="523" spans="1:59" s="149" customFormat="1" ht="18">
      <c r="A523"/>
      <c r="B523" s="103">
        <v>2026</v>
      </c>
      <c r="C523" s="103">
        <v>21</v>
      </c>
      <c r="D523" s="167">
        <v>43</v>
      </c>
      <c r="E523" s="103">
        <v>2</v>
      </c>
      <c r="F523" s="103">
        <v>3</v>
      </c>
      <c r="G523" s="103">
        <v>12</v>
      </c>
      <c r="H523" s="103">
        <v>5000</v>
      </c>
      <c r="I523" s="103">
        <v>5900</v>
      </c>
      <c r="J523" s="103"/>
      <c r="K523" s="103"/>
      <c r="L523" s="105" t="s">
        <v>299</v>
      </c>
      <c r="M523" s="106">
        <f>+M524+M526</f>
        <v>0</v>
      </c>
      <c r="N523" s="107"/>
      <c r="O523" s="107"/>
      <c r="P523" s="107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6"/>
      <c r="AW523" s="146"/>
      <c r="AX523" s="146"/>
      <c r="AY523" s="146"/>
      <c r="AZ523" s="147"/>
      <c r="BA523" s="147"/>
      <c r="BB523" s="147"/>
      <c r="BC523" s="147"/>
      <c r="BD523" s="147"/>
      <c r="BE523" s="147"/>
      <c r="BF523" s="147"/>
      <c r="BG523" s="147"/>
    </row>
    <row r="524" spans="1:59" s="148" customFormat="1" ht="18">
      <c r="A524"/>
      <c r="B524" s="110">
        <v>2026</v>
      </c>
      <c r="C524" s="110">
        <v>21</v>
      </c>
      <c r="D524" s="168">
        <v>43</v>
      </c>
      <c r="E524" s="110">
        <v>2</v>
      </c>
      <c r="F524" s="110">
        <v>3</v>
      </c>
      <c r="G524" s="110">
        <v>12</v>
      </c>
      <c r="H524" s="110">
        <v>5000</v>
      </c>
      <c r="I524" s="110">
        <v>5900</v>
      </c>
      <c r="J524" s="110">
        <v>591</v>
      </c>
      <c r="K524" s="110"/>
      <c r="L524" s="123" t="s">
        <v>300</v>
      </c>
      <c r="M524" s="112">
        <f>+M525</f>
        <v>0</v>
      </c>
      <c r="N524" s="113"/>
      <c r="O524" s="113"/>
      <c r="P524" s="113"/>
      <c r="Q524" s="150"/>
      <c r="R524" s="150"/>
      <c r="S524" s="146"/>
      <c r="T524" s="150"/>
      <c r="U524" s="150"/>
      <c r="V524" s="146"/>
      <c r="W524" s="146"/>
      <c r="X524" s="150"/>
      <c r="Y524" s="150"/>
      <c r="Z524" s="146"/>
      <c r="AA524" s="150"/>
      <c r="AB524" s="150"/>
      <c r="AC524" s="146"/>
      <c r="AD524" s="146"/>
      <c r="AE524" s="150"/>
      <c r="AF524" s="150"/>
      <c r="AG524" s="146"/>
      <c r="AH524" s="150"/>
      <c r="AI524" s="150"/>
      <c r="AJ524" s="146"/>
      <c r="AK524" s="146"/>
      <c r="AL524" s="150"/>
      <c r="AM524" s="150"/>
      <c r="AN524" s="146"/>
      <c r="AO524" s="150"/>
      <c r="AP524" s="150"/>
      <c r="AQ524" s="146"/>
      <c r="AR524" s="146"/>
      <c r="AS524" s="151"/>
      <c r="AT524" s="151"/>
      <c r="AU524" s="146"/>
      <c r="AV524" s="151"/>
      <c r="AW524" s="151"/>
      <c r="AX524" s="146"/>
      <c r="AY524" s="146"/>
      <c r="AZ524" s="152"/>
      <c r="BA524" s="152"/>
      <c r="BB524" s="153"/>
      <c r="BC524" s="153"/>
      <c r="BD524" s="153"/>
      <c r="BE524" s="153"/>
      <c r="BF524" s="152"/>
      <c r="BG524" s="152"/>
    </row>
    <row r="525" spans="1:59" s="148" customFormat="1" ht="18">
      <c r="A525"/>
      <c r="B525" s="116">
        <v>2026</v>
      </c>
      <c r="C525" s="116">
        <v>21</v>
      </c>
      <c r="D525" s="169">
        <v>43</v>
      </c>
      <c r="E525" s="116">
        <v>2</v>
      </c>
      <c r="F525" s="116">
        <v>3</v>
      </c>
      <c r="G525" s="116">
        <v>12</v>
      </c>
      <c r="H525" s="116">
        <v>5000</v>
      </c>
      <c r="I525" s="116">
        <v>5900</v>
      </c>
      <c r="J525" s="116">
        <v>591</v>
      </c>
      <c r="K525" s="117">
        <v>1560</v>
      </c>
      <c r="L525" s="118" t="s">
        <v>502</v>
      </c>
      <c r="M525" s="119"/>
      <c r="N525" s="120" t="s">
        <v>302</v>
      </c>
      <c r="O525" s="120"/>
      <c r="P525" s="120"/>
      <c r="Q525" s="150"/>
      <c r="R525" s="150"/>
      <c r="S525" s="146"/>
      <c r="T525" s="150"/>
      <c r="U525" s="150"/>
      <c r="V525" s="146"/>
      <c r="W525" s="146"/>
      <c r="X525" s="150"/>
      <c r="Y525" s="150"/>
      <c r="Z525" s="146"/>
      <c r="AA525" s="150"/>
      <c r="AB525" s="150"/>
      <c r="AC525" s="146"/>
      <c r="AD525" s="146"/>
      <c r="AE525" s="150"/>
      <c r="AF525" s="150"/>
      <c r="AG525" s="146"/>
      <c r="AH525" s="150"/>
      <c r="AI525" s="150"/>
      <c r="AJ525" s="146"/>
      <c r="AK525" s="146"/>
      <c r="AL525" s="150"/>
      <c r="AM525" s="150"/>
      <c r="AN525" s="146"/>
      <c r="AO525" s="150"/>
      <c r="AP525" s="150"/>
      <c r="AQ525" s="146"/>
      <c r="AR525" s="146"/>
      <c r="AS525" s="151"/>
      <c r="AT525" s="151"/>
      <c r="AU525" s="146"/>
      <c r="AV525" s="151"/>
      <c r="AW525" s="151"/>
      <c r="AX525" s="146"/>
      <c r="AY525" s="146"/>
      <c r="AZ525" s="152"/>
      <c r="BA525" s="152"/>
      <c r="BB525" s="153"/>
      <c r="BC525" s="153"/>
      <c r="BD525" s="153"/>
      <c r="BE525" s="153"/>
      <c r="BF525" s="152"/>
      <c r="BG525" s="152"/>
    </row>
    <row r="526" spans="1:59" s="149" customFormat="1" ht="18">
      <c r="A526"/>
      <c r="B526" s="110">
        <v>2026</v>
      </c>
      <c r="C526" s="110">
        <v>21</v>
      </c>
      <c r="D526" s="168">
        <v>43</v>
      </c>
      <c r="E526" s="110">
        <v>2</v>
      </c>
      <c r="F526" s="110">
        <v>3</v>
      </c>
      <c r="G526" s="110">
        <v>12</v>
      </c>
      <c r="H526" s="110">
        <v>5000</v>
      </c>
      <c r="I526" s="110">
        <v>5900</v>
      </c>
      <c r="J526" s="110">
        <v>597</v>
      </c>
      <c r="K526" s="110"/>
      <c r="L526" s="123" t="s">
        <v>303</v>
      </c>
      <c r="M526" s="112">
        <f>+M527</f>
        <v>0</v>
      </c>
      <c r="N526" s="113"/>
      <c r="O526" s="113"/>
      <c r="P526" s="113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6"/>
      <c r="AW526" s="146"/>
      <c r="AX526" s="146"/>
      <c r="AY526" s="146"/>
      <c r="AZ526" s="147"/>
      <c r="BA526" s="147"/>
      <c r="BB526" s="147"/>
      <c r="BC526" s="147"/>
      <c r="BD526" s="147"/>
      <c r="BE526" s="147"/>
      <c r="BF526" s="147"/>
      <c r="BG526" s="147"/>
    </row>
    <row r="527" spans="1:59" s="148" customFormat="1" ht="18">
      <c r="A527"/>
      <c r="B527" s="116">
        <v>2026</v>
      </c>
      <c r="C527" s="116">
        <v>21</v>
      </c>
      <c r="D527" s="169">
        <v>43</v>
      </c>
      <c r="E527" s="116">
        <v>2</v>
      </c>
      <c r="F527" s="116">
        <v>3</v>
      </c>
      <c r="G527" s="116">
        <v>12</v>
      </c>
      <c r="H527" s="116">
        <v>5000</v>
      </c>
      <c r="I527" s="116">
        <v>5900</v>
      </c>
      <c r="J527" s="116">
        <v>597</v>
      </c>
      <c r="K527" s="117">
        <v>1561</v>
      </c>
      <c r="L527" s="118" t="s">
        <v>503</v>
      </c>
      <c r="M527" s="119"/>
      <c r="N527" s="120" t="s">
        <v>302</v>
      </c>
      <c r="O527" s="120"/>
      <c r="P527" s="120"/>
      <c r="Q527" s="150"/>
      <c r="R527" s="150"/>
      <c r="S527" s="146"/>
      <c r="T527" s="150"/>
      <c r="U527" s="150"/>
      <c r="V527" s="146"/>
      <c r="W527" s="146"/>
      <c r="X527" s="150"/>
      <c r="Y527" s="150"/>
      <c r="Z527" s="146"/>
      <c r="AA527" s="150"/>
      <c r="AB527" s="150"/>
      <c r="AC527" s="146"/>
      <c r="AD527" s="146"/>
      <c r="AE527" s="150"/>
      <c r="AF527" s="150"/>
      <c r="AG527" s="146"/>
      <c r="AH527" s="150"/>
      <c r="AI527" s="150"/>
      <c r="AJ527" s="146"/>
      <c r="AK527" s="146"/>
      <c r="AL527" s="150"/>
      <c r="AM527" s="150"/>
      <c r="AN527" s="146"/>
      <c r="AO527" s="150"/>
      <c r="AP527" s="150"/>
      <c r="AQ527" s="146"/>
      <c r="AR527" s="146"/>
      <c r="AS527" s="151"/>
      <c r="AT527" s="151"/>
      <c r="AU527" s="146"/>
      <c r="AV527" s="151"/>
      <c r="AW527" s="151"/>
      <c r="AX527" s="146"/>
      <c r="AY527" s="146"/>
      <c r="AZ527" s="152"/>
      <c r="BA527" s="152"/>
      <c r="BB527" s="153"/>
      <c r="BC527" s="153"/>
      <c r="BD527" s="153"/>
      <c r="BE527" s="153"/>
      <c r="BF527" s="152"/>
      <c r="BG527" s="152"/>
    </row>
    <row r="528" spans="1:59" s="148" customFormat="1" ht="18">
      <c r="A528"/>
      <c r="B528" s="88">
        <v>2026</v>
      </c>
      <c r="C528" s="88">
        <v>21</v>
      </c>
      <c r="D528" s="165">
        <v>43</v>
      </c>
      <c r="E528" s="88">
        <v>2</v>
      </c>
      <c r="F528" s="88">
        <v>3</v>
      </c>
      <c r="G528" s="88">
        <v>13</v>
      </c>
      <c r="H528" s="88"/>
      <c r="I528" s="88"/>
      <c r="J528" s="89"/>
      <c r="K528" s="90"/>
      <c r="L528" s="91" t="s">
        <v>504</v>
      </c>
      <c r="M528" s="92">
        <f>+M529</f>
        <v>0</v>
      </c>
      <c r="N528" s="93"/>
      <c r="O528" s="94"/>
      <c r="P528" s="95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6"/>
      <c r="AW528" s="146"/>
      <c r="AX528" s="146"/>
      <c r="AY528" s="146"/>
      <c r="AZ528" s="147"/>
      <c r="BA528" s="147"/>
      <c r="BB528" s="147"/>
      <c r="BC528" s="147"/>
      <c r="BD528" s="147"/>
      <c r="BE528" s="147"/>
      <c r="BF528" s="147"/>
      <c r="BG528" s="147"/>
    </row>
    <row r="529" spans="1:59" s="149" customFormat="1" ht="18">
      <c r="A529"/>
      <c r="B529" s="96">
        <v>2026</v>
      </c>
      <c r="C529" s="96">
        <v>21</v>
      </c>
      <c r="D529" s="166">
        <v>43</v>
      </c>
      <c r="E529" s="96">
        <v>2</v>
      </c>
      <c r="F529" s="96">
        <v>3</v>
      </c>
      <c r="G529" s="96">
        <v>13</v>
      </c>
      <c r="H529" s="96">
        <v>6000</v>
      </c>
      <c r="I529" s="96"/>
      <c r="J529" s="96"/>
      <c r="K529" s="97"/>
      <c r="L529" s="98" t="s">
        <v>306</v>
      </c>
      <c r="M529" s="99">
        <f>+M530</f>
        <v>0</v>
      </c>
      <c r="N529" s="100"/>
      <c r="O529" s="129"/>
      <c r="P529" s="130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6"/>
      <c r="AW529" s="146"/>
      <c r="AX529" s="146"/>
      <c r="AY529" s="146"/>
      <c r="AZ529" s="147"/>
      <c r="BA529" s="147"/>
      <c r="BB529" s="147"/>
      <c r="BC529" s="147"/>
      <c r="BD529" s="147"/>
      <c r="BE529" s="147"/>
      <c r="BF529" s="147"/>
      <c r="BG529" s="147"/>
    </row>
    <row r="530" spans="1:59" s="148" customFormat="1" ht="18">
      <c r="A530"/>
      <c r="B530" s="103">
        <v>2026</v>
      </c>
      <c r="C530" s="103">
        <v>21</v>
      </c>
      <c r="D530" s="167">
        <v>43</v>
      </c>
      <c r="E530" s="103">
        <v>2</v>
      </c>
      <c r="F530" s="103">
        <v>3</v>
      </c>
      <c r="G530" s="103">
        <v>13</v>
      </c>
      <c r="H530" s="103">
        <v>6000</v>
      </c>
      <c r="I530" s="103">
        <v>6200</v>
      </c>
      <c r="J530" s="103"/>
      <c r="K530" s="104"/>
      <c r="L530" s="105" t="s">
        <v>307</v>
      </c>
      <c r="M530" s="106">
        <f t="shared" ref="M530" si="0">M531</f>
        <v>0</v>
      </c>
      <c r="N530" s="107"/>
      <c r="O530" s="108"/>
      <c r="P530" s="109"/>
      <c r="Q530" s="150"/>
      <c r="R530" s="150"/>
      <c r="S530" s="146"/>
      <c r="T530" s="150"/>
      <c r="U530" s="150"/>
      <c r="V530" s="146"/>
      <c r="W530" s="146"/>
      <c r="X530" s="150"/>
      <c r="Y530" s="150"/>
      <c r="Z530" s="146"/>
      <c r="AA530" s="150"/>
      <c r="AB530" s="150"/>
      <c r="AC530" s="146"/>
      <c r="AD530" s="146"/>
      <c r="AE530" s="150"/>
      <c r="AF530" s="150"/>
      <c r="AG530" s="146"/>
      <c r="AH530" s="150"/>
      <c r="AI530" s="150"/>
      <c r="AJ530" s="146"/>
      <c r="AK530" s="146"/>
      <c r="AL530" s="150"/>
      <c r="AM530" s="150"/>
      <c r="AN530" s="146"/>
      <c r="AO530" s="150"/>
      <c r="AP530" s="150"/>
      <c r="AQ530" s="146"/>
      <c r="AR530" s="146"/>
      <c r="AS530" s="151"/>
      <c r="AT530" s="151"/>
      <c r="AU530" s="146"/>
      <c r="AV530" s="151"/>
      <c r="AW530" s="151"/>
      <c r="AX530" s="146"/>
      <c r="AY530" s="146"/>
      <c r="AZ530" s="152"/>
      <c r="BA530" s="152"/>
      <c r="BB530" s="153"/>
      <c r="BC530" s="153"/>
      <c r="BD530" s="153"/>
      <c r="BE530" s="153"/>
      <c r="BF530" s="152"/>
      <c r="BG530" s="152"/>
    </row>
    <row r="531" spans="1:59" s="148" customFormat="1" ht="18">
      <c r="A531"/>
      <c r="B531" s="110">
        <v>2026</v>
      </c>
      <c r="C531" s="110">
        <v>21</v>
      </c>
      <c r="D531" s="168">
        <v>43</v>
      </c>
      <c r="E531" s="110">
        <v>2</v>
      </c>
      <c r="F531" s="110">
        <v>3</v>
      </c>
      <c r="G531" s="110">
        <v>13</v>
      </c>
      <c r="H531" s="110">
        <v>6000</v>
      </c>
      <c r="I531" s="110">
        <v>6200</v>
      </c>
      <c r="J531" s="110">
        <v>622</v>
      </c>
      <c r="K531" s="111"/>
      <c r="L531" s="123" t="s">
        <v>308</v>
      </c>
      <c r="M531" s="112">
        <f>SUM(M532:M533)</f>
        <v>0</v>
      </c>
      <c r="N531" s="113"/>
      <c r="O531" s="114"/>
      <c r="P531" s="115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6"/>
      <c r="AW531" s="146"/>
      <c r="AX531" s="146"/>
      <c r="AY531" s="146"/>
      <c r="AZ531" s="147"/>
      <c r="BA531" s="147"/>
      <c r="BB531" s="147"/>
      <c r="BC531" s="147"/>
      <c r="BD531" s="147"/>
      <c r="BE531" s="147"/>
      <c r="BF531" s="147"/>
      <c r="BG531" s="147"/>
    </row>
    <row r="532" spans="1:59" s="148" customFormat="1" ht="119.25" customHeight="1">
      <c r="A532"/>
      <c r="B532" s="116">
        <v>2026</v>
      </c>
      <c r="C532" s="116">
        <v>21</v>
      </c>
      <c r="D532" s="169">
        <v>43</v>
      </c>
      <c r="E532" s="116">
        <v>2</v>
      </c>
      <c r="F532" s="116">
        <v>3</v>
      </c>
      <c r="G532" s="116">
        <v>13</v>
      </c>
      <c r="H532" s="116">
        <v>6000</v>
      </c>
      <c r="I532" s="116">
        <v>6200</v>
      </c>
      <c r="J532" s="116">
        <v>62201</v>
      </c>
      <c r="K532" s="117">
        <v>385</v>
      </c>
      <c r="L532" s="118" t="s">
        <v>545</v>
      </c>
      <c r="M532" s="119">
        <v>0</v>
      </c>
      <c r="N532" s="120" t="s">
        <v>310</v>
      </c>
      <c r="O532" s="121"/>
      <c r="P532" s="121"/>
      <c r="Q532" s="150"/>
      <c r="R532" s="150"/>
      <c r="S532" s="146"/>
      <c r="T532" s="150"/>
      <c r="U532" s="150"/>
      <c r="V532" s="146"/>
      <c r="W532" s="146"/>
      <c r="X532" s="150"/>
      <c r="Y532" s="150"/>
      <c r="Z532" s="146"/>
      <c r="AA532" s="150"/>
      <c r="AB532" s="150"/>
      <c r="AC532" s="146"/>
      <c r="AD532" s="146"/>
      <c r="AE532" s="150"/>
      <c r="AF532" s="150"/>
      <c r="AG532" s="146"/>
      <c r="AH532" s="150"/>
      <c r="AI532" s="150"/>
      <c r="AJ532" s="146"/>
      <c r="AK532" s="146"/>
      <c r="AL532" s="150"/>
      <c r="AM532" s="150"/>
      <c r="AN532" s="146"/>
      <c r="AO532" s="150"/>
      <c r="AP532" s="150"/>
      <c r="AQ532" s="146"/>
      <c r="AR532" s="146"/>
      <c r="AS532" s="151"/>
      <c r="AT532" s="151"/>
      <c r="AU532" s="146"/>
      <c r="AV532" s="151"/>
      <c r="AW532" s="151"/>
      <c r="AX532" s="146"/>
      <c r="AY532" s="146"/>
      <c r="AZ532" s="152"/>
      <c r="BA532" s="152"/>
      <c r="BB532" s="153"/>
      <c r="BC532" s="153"/>
      <c r="BD532" s="153"/>
      <c r="BE532" s="153"/>
      <c r="BF532" s="152"/>
      <c r="BG532" s="152"/>
    </row>
    <row r="533" spans="1:59" s="148" customFormat="1" ht="108">
      <c r="A533"/>
      <c r="B533" s="116">
        <v>2026</v>
      </c>
      <c r="C533" s="116">
        <v>21</v>
      </c>
      <c r="D533" s="169">
        <v>43</v>
      </c>
      <c r="E533" s="116">
        <v>2</v>
      </c>
      <c r="F533" s="116">
        <v>3</v>
      </c>
      <c r="G533" s="116">
        <v>13</v>
      </c>
      <c r="H533" s="116">
        <v>6000</v>
      </c>
      <c r="I533" s="116">
        <v>6200</v>
      </c>
      <c r="J533" s="116">
        <v>62202</v>
      </c>
      <c r="K533" s="117">
        <v>927</v>
      </c>
      <c r="L533" s="118" t="s">
        <v>505</v>
      </c>
      <c r="M533" s="119">
        <v>0</v>
      </c>
      <c r="N533" s="120" t="s">
        <v>310</v>
      </c>
      <c r="O533" s="121"/>
      <c r="P533" s="121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6"/>
      <c r="AW533" s="146"/>
      <c r="AX533" s="146"/>
      <c r="AY533" s="146"/>
      <c r="AZ533" s="147"/>
      <c r="BA533" s="147"/>
      <c r="BB533" s="147"/>
      <c r="BC533" s="147"/>
      <c r="BD533" s="147"/>
      <c r="BE533" s="147"/>
      <c r="BF533" s="147"/>
      <c r="BG533" s="147"/>
    </row>
    <row r="534" spans="1:59" ht="36">
      <c r="B534" s="73">
        <v>2026</v>
      </c>
      <c r="C534" s="73">
        <v>21</v>
      </c>
      <c r="D534" s="164">
        <v>43</v>
      </c>
      <c r="E534" s="73">
        <v>3</v>
      </c>
      <c r="F534" s="73"/>
      <c r="G534" s="73"/>
      <c r="H534" s="73"/>
      <c r="I534" s="73"/>
      <c r="J534" s="74"/>
      <c r="K534" s="75"/>
      <c r="L534" s="76" t="s">
        <v>506</v>
      </c>
      <c r="M534" s="77">
        <f>+M535+M584</f>
        <v>8887575</v>
      </c>
      <c r="N534" s="78"/>
      <c r="O534" s="79"/>
      <c r="P534" s="79"/>
    </row>
    <row r="535" spans="1:59" ht="36">
      <c r="B535" s="81">
        <v>2026</v>
      </c>
      <c r="C535" s="81">
        <v>21</v>
      </c>
      <c r="D535" s="82">
        <v>43</v>
      </c>
      <c r="E535" s="81">
        <v>3</v>
      </c>
      <c r="F535" s="81">
        <v>8</v>
      </c>
      <c r="G535" s="81"/>
      <c r="H535" s="81"/>
      <c r="I535" s="81"/>
      <c r="J535" s="81"/>
      <c r="K535" s="82"/>
      <c r="L535" s="83" t="s">
        <v>507</v>
      </c>
      <c r="M535" s="84">
        <f>+M536+M544</f>
        <v>8846375</v>
      </c>
      <c r="N535" s="85" t="s">
        <v>341</v>
      </c>
      <c r="O535" s="86"/>
      <c r="P535" s="86"/>
    </row>
    <row r="536" spans="1:59" ht="36">
      <c r="B536" s="88">
        <v>2026</v>
      </c>
      <c r="C536" s="88">
        <v>21</v>
      </c>
      <c r="D536" s="165">
        <v>43</v>
      </c>
      <c r="E536" s="88">
        <v>3</v>
      </c>
      <c r="F536" s="88">
        <v>8</v>
      </c>
      <c r="G536" s="88">
        <v>23</v>
      </c>
      <c r="H536" s="88"/>
      <c r="I536" s="88"/>
      <c r="J536" s="88"/>
      <c r="K536" s="90"/>
      <c r="L536" s="91" t="s">
        <v>508</v>
      </c>
      <c r="M536" s="92">
        <f>+M537</f>
        <v>680750</v>
      </c>
      <c r="N536" s="93"/>
      <c r="O536" s="94"/>
      <c r="P536" s="94"/>
    </row>
    <row r="537" spans="1:59" ht="18">
      <c r="B537" s="96">
        <v>2026</v>
      </c>
      <c r="C537" s="96">
        <v>21</v>
      </c>
      <c r="D537" s="166">
        <v>43</v>
      </c>
      <c r="E537" s="96">
        <v>3</v>
      </c>
      <c r="F537" s="96">
        <v>8</v>
      </c>
      <c r="G537" s="96">
        <v>23</v>
      </c>
      <c r="H537" s="96">
        <v>5000</v>
      </c>
      <c r="I537" s="96"/>
      <c r="J537" s="96"/>
      <c r="K537" s="97"/>
      <c r="L537" s="98" t="s">
        <v>161</v>
      </c>
      <c r="M537" s="99">
        <f>+M538</f>
        <v>680750</v>
      </c>
      <c r="N537" s="100"/>
      <c r="O537" s="101"/>
      <c r="P537" s="101"/>
    </row>
    <row r="538" spans="1:59" ht="18">
      <c r="B538" s="103">
        <v>2026</v>
      </c>
      <c r="C538" s="103">
        <v>21</v>
      </c>
      <c r="D538" s="167">
        <v>43</v>
      </c>
      <c r="E538" s="103">
        <v>3</v>
      </c>
      <c r="F538" s="103">
        <v>8</v>
      </c>
      <c r="G538" s="103">
        <v>23</v>
      </c>
      <c r="H538" s="103">
        <v>5000</v>
      </c>
      <c r="I538" s="103">
        <v>5600</v>
      </c>
      <c r="J538" s="103"/>
      <c r="K538" s="104"/>
      <c r="L538" s="105" t="s">
        <v>509</v>
      </c>
      <c r="M538" s="106">
        <f>+M539+M542</f>
        <v>680750</v>
      </c>
      <c r="N538" s="107"/>
      <c r="O538" s="154"/>
      <c r="P538" s="154"/>
    </row>
    <row r="539" spans="1:59" ht="18">
      <c r="B539" s="110">
        <v>2026</v>
      </c>
      <c r="C539" s="110">
        <v>21</v>
      </c>
      <c r="D539" s="168">
        <v>43</v>
      </c>
      <c r="E539" s="110">
        <v>3</v>
      </c>
      <c r="F539" s="110">
        <v>8</v>
      </c>
      <c r="G539" s="110">
        <v>23</v>
      </c>
      <c r="H539" s="110">
        <v>5000</v>
      </c>
      <c r="I539" s="110">
        <v>5600</v>
      </c>
      <c r="J539" s="110">
        <v>565</v>
      </c>
      <c r="K539" s="111"/>
      <c r="L539" s="123" t="s">
        <v>510</v>
      </c>
      <c r="M539" s="112">
        <f>SUBTOTAL(9,M540:M541)</f>
        <v>638750</v>
      </c>
      <c r="N539" s="113"/>
      <c r="O539" s="155"/>
      <c r="P539" s="155"/>
    </row>
    <row r="540" spans="1:59" ht="18">
      <c r="B540" s="116">
        <v>2026</v>
      </c>
      <c r="C540" s="116">
        <v>21</v>
      </c>
      <c r="D540" s="169">
        <v>43</v>
      </c>
      <c r="E540" s="116">
        <v>3</v>
      </c>
      <c r="F540" s="116">
        <v>8</v>
      </c>
      <c r="G540" s="116">
        <v>23</v>
      </c>
      <c r="H540" s="116">
        <v>5000</v>
      </c>
      <c r="I540" s="116">
        <v>5600</v>
      </c>
      <c r="J540" s="116">
        <v>565</v>
      </c>
      <c r="K540" s="117">
        <v>1438</v>
      </c>
      <c r="L540" s="118" t="s">
        <v>511</v>
      </c>
      <c r="M540" s="119">
        <v>75000</v>
      </c>
      <c r="N540" s="120" t="s">
        <v>56</v>
      </c>
      <c r="O540" s="121">
        <v>3</v>
      </c>
      <c r="P540" s="121"/>
    </row>
    <row r="541" spans="1:59" ht="18">
      <c r="B541" s="116">
        <v>2026</v>
      </c>
      <c r="C541" s="116">
        <v>21</v>
      </c>
      <c r="D541" s="169">
        <v>43</v>
      </c>
      <c r="E541" s="116">
        <v>3</v>
      </c>
      <c r="F541" s="116">
        <v>8</v>
      </c>
      <c r="G541" s="116">
        <v>23</v>
      </c>
      <c r="H541" s="116">
        <v>5000</v>
      </c>
      <c r="I541" s="116">
        <v>5600</v>
      </c>
      <c r="J541" s="116">
        <v>565</v>
      </c>
      <c r="K541" s="117">
        <v>1439</v>
      </c>
      <c r="L541" s="118" t="s">
        <v>512</v>
      </c>
      <c r="M541" s="119">
        <v>563750</v>
      </c>
      <c r="N541" s="120" t="s">
        <v>56</v>
      </c>
      <c r="O541" s="121">
        <v>41</v>
      </c>
      <c r="P541" s="121"/>
    </row>
    <row r="542" spans="1:59" ht="18">
      <c r="B542" s="110">
        <v>2026</v>
      </c>
      <c r="C542" s="110">
        <v>21</v>
      </c>
      <c r="D542" s="168">
        <v>43</v>
      </c>
      <c r="E542" s="110">
        <v>3</v>
      </c>
      <c r="F542" s="110">
        <v>8</v>
      </c>
      <c r="G542" s="110">
        <v>23</v>
      </c>
      <c r="H542" s="110">
        <v>5000</v>
      </c>
      <c r="I542" s="110">
        <v>5600</v>
      </c>
      <c r="J542" s="110">
        <v>566</v>
      </c>
      <c r="K542" s="111"/>
      <c r="L542" s="123" t="s">
        <v>513</v>
      </c>
      <c r="M542" s="112">
        <f>+M543</f>
        <v>42000</v>
      </c>
      <c r="N542" s="113"/>
      <c r="O542" s="114"/>
      <c r="P542" s="114"/>
    </row>
    <row r="543" spans="1:59" ht="18">
      <c r="B543" s="116">
        <v>2026</v>
      </c>
      <c r="C543" s="116">
        <v>21</v>
      </c>
      <c r="D543" s="169">
        <v>43</v>
      </c>
      <c r="E543" s="116">
        <v>3</v>
      </c>
      <c r="F543" s="116">
        <v>8</v>
      </c>
      <c r="G543" s="116">
        <v>23</v>
      </c>
      <c r="H543" s="116">
        <v>5000</v>
      </c>
      <c r="I543" s="116">
        <v>5600</v>
      </c>
      <c r="J543" s="116">
        <v>566</v>
      </c>
      <c r="K543" s="117">
        <v>123</v>
      </c>
      <c r="L543" s="118" t="s">
        <v>514</v>
      </c>
      <c r="M543" s="119">
        <v>42000</v>
      </c>
      <c r="N543" s="120" t="s">
        <v>56</v>
      </c>
      <c r="O543" s="121">
        <v>1</v>
      </c>
      <c r="P543" s="121"/>
    </row>
    <row r="544" spans="1:59" ht="36">
      <c r="B544" s="88">
        <v>2026</v>
      </c>
      <c r="C544" s="88">
        <v>21</v>
      </c>
      <c r="D544" s="165">
        <v>43</v>
      </c>
      <c r="E544" s="88">
        <v>3</v>
      </c>
      <c r="F544" s="88">
        <v>8</v>
      </c>
      <c r="G544" s="88">
        <v>24</v>
      </c>
      <c r="H544" s="88"/>
      <c r="I544" s="88"/>
      <c r="J544" s="88"/>
      <c r="K544" s="90"/>
      <c r="L544" s="91" t="s">
        <v>515</v>
      </c>
      <c r="M544" s="92">
        <f>M545+M549+M553</f>
        <v>8165624.9999999991</v>
      </c>
      <c r="N544" s="93"/>
      <c r="O544" s="94"/>
      <c r="P544" s="94"/>
      <c r="Q544" s="193"/>
      <c r="R544" s="192"/>
    </row>
    <row r="545" spans="2:19" ht="18">
      <c r="B545" s="96">
        <v>2026</v>
      </c>
      <c r="C545" s="96">
        <v>21</v>
      </c>
      <c r="D545" s="166">
        <v>43</v>
      </c>
      <c r="E545" s="96">
        <v>3</v>
      </c>
      <c r="F545" s="96">
        <v>8</v>
      </c>
      <c r="G545" s="96">
        <v>24</v>
      </c>
      <c r="H545" s="96">
        <v>2000</v>
      </c>
      <c r="I545" s="96"/>
      <c r="J545" s="96"/>
      <c r="K545" s="97"/>
      <c r="L545" s="98" t="s">
        <v>24</v>
      </c>
      <c r="M545" s="99">
        <f>+M546</f>
        <v>22900</v>
      </c>
      <c r="N545" s="100"/>
      <c r="O545" s="101"/>
      <c r="P545" s="101"/>
    </row>
    <row r="546" spans="2:19" ht="18">
      <c r="B546" s="103">
        <v>2026</v>
      </c>
      <c r="C546" s="103">
        <v>21</v>
      </c>
      <c r="D546" s="167">
        <v>43</v>
      </c>
      <c r="E546" s="103">
        <v>3</v>
      </c>
      <c r="F546" s="103">
        <v>8</v>
      </c>
      <c r="G546" s="103">
        <v>24</v>
      </c>
      <c r="H546" s="103">
        <v>2000</v>
      </c>
      <c r="I546" s="103">
        <v>2400</v>
      </c>
      <c r="J546" s="103"/>
      <c r="K546" s="104" t="s">
        <v>341</v>
      </c>
      <c r="L546" s="105" t="s">
        <v>158</v>
      </c>
      <c r="M546" s="156">
        <f>+M547</f>
        <v>22900</v>
      </c>
      <c r="N546" s="157"/>
      <c r="O546" s="157"/>
      <c r="P546" s="157"/>
    </row>
    <row r="547" spans="2:19" ht="36">
      <c r="B547" s="110">
        <v>2026</v>
      </c>
      <c r="C547" s="110">
        <v>21</v>
      </c>
      <c r="D547" s="168">
        <v>43</v>
      </c>
      <c r="E547" s="110">
        <v>3</v>
      </c>
      <c r="F547" s="110">
        <v>8</v>
      </c>
      <c r="G547" s="110">
        <v>24</v>
      </c>
      <c r="H547" s="110">
        <v>2000</v>
      </c>
      <c r="I547" s="110">
        <v>2400</v>
      </c>
      <c r="J547" s="110">
        <v>246</v>
      </c>
      <c r="K547" s="111" t="s">
        <v>341</v>
      </c>
      <c r="L547" s="123" t="s">
        <v>159</v>
      </c>
      <c r="M547" s="112">
        <f>+M548</f>
        <v>22900</v>
      </c>
      <c r="N547" s="113"/>
      <c r="O547" s="114"/>
      <c r="P547" s="114"/>
    </row>
    <row r="548" spans="2:19" ht="18">
      <c r="B548" s="116">
        <v>2026</v>
      </c>
      <c r="C548" s="116">
        <v>21</v>
      </c>
      <c r="D548" s="169">
        <v>43</v>
      </c>
      <c r="E548" s="116">
        <v>3</v>
      </c>
      <c r="F548" s="116">
        <v>8</v>
      </c>
      <c r="G548" s="116">
        <v>24</v>
      </c>
      <c r="H548" s="116">
        <v>2000</v>
      </c>
      <c r="I548" s="116">
        <v>2400</v>
      </c>
      <c r="J548" s="116">
        <v>246</v>
      </c>
      <c r="K548" s="117">
        <v>908</v>
      </c>
      <c r="L548" s="118" t="s">
        <v>516</v>
      </c>
      <c r="M548" s="119">
        <v>22900</v>
      </c>
      <c r="N548" s="120" t="s">
        <v>44</v>
      </c>
      <c r="O548" s="121">
        <v>1</v>
      </c>
      <c r="P548" s="121"/>
    </row>
    <row r="549" spans="2:19" ht="18">
      <c r="B549" s="96">
        <v>2026</v>
      </c>
      <c r="C549" s="96">
        <v>21</v>
      </c>
      <c r="D549" s="166">
        <v>43</v>
      </c>
      <c r="E549" s="96">
        <v>3</v>
      </c>
      <c r="F549" s="96">
        <v>8</v>
      </c>
      <c r="G549" s="96">
        <v>24</v>
      </c>
      <c r="H549" s="96">
        <v>3000</v>
      </c>
      <c r="I549" s="96"/>
      <c r="J549" s="96"/>
      <c r="K549" s="97"/>
      <c r="L549" s="98" t="s">
        <v>24</v>
      </c>
      <c r="M549" s="99">
        <f>+M550</f>
        <v>270000</v>
      </c>
      <c r="N549" s="100"/>
      <c r="O549" s="101"/>
      <c r="P549" s="101"/>
    </row>
    <row r="550" spans="2:19" ht="18">
      <c r="B550" s="103">
        <v>2026</v>
      </c>
      <c r="C550" s="103">
        <v>21</v>
      </c>
      <c r="D550" s="167">
        <v>43</v>
      </c>
      <c r="E550" s="103">
        <v>3</v>
      </c>
      <c r="F550" s="103">
        <v>8</v>
      </c>
      <c r="G550" s="103">
        <v>24</v>
      </c>
      <c r="H550" s="103">
        <v>3000</v>
      </c>
      <c r="I550" s="103">
        <v>3500</v>
      </c>
      <c r="J550" s="103"/>
      <c r="K550" s="104"/>
      <c r="L550" s="105" t="s">
        <v>158</v>
      </c>
      <c r="M550" s="156">
        <f>+M551</f>
        <v>270000</v>
      </c>
      <c r="N550" s="157"/>
      <c r="O550" s="157"/>
      <c r="P550" s="157"/>
    </row>
    <row r="551" spans="2:19" ht="36">
      <c r="B551" s="110">
        <v>2026</v>
      </c>
      <c r="C551" s="110">
        <v>21</v>
      </c>
      <c r="D551" s="168">
        <v>43</v>
      </c>
      <c r="E551" s="110">
        <v>3</v>
      </c>
      <c r="F551" s="110">
        <v>8</v>
      </c>
      <c r="G551" s="110">
        <v>24</v>
      </c>
      <c r="H551" s="110">
        <v>3000</v>
      </c>
      <c r="I551" s="110">
        <v>3500</v>
      </c>
      <c r="J551" s="110">
        <v>357</v>
      </c>
      <c r="K551" s="111"/>
      <c r="L551" s="123" t="s">
        <v>159</v>
      </c>
      <c r="M551" s="112">
        <f>+M552</f>
        <v>270000</v>
      </c>
      <c r="N551" s="113"/>
      <c r="O551" s="114"/>
      <c r="P551" s="114"/>
    </row>
    <row r="552" spans="2:19" ht="36">
      <c r="B552" s="116">
        <v>2026</v>
      </c>
      <c r="C552" s="116">
        <v>21</v>
      </c>
      <c r="D552" s="169">
        <v>43</v>
      </c>
      <c r="E552" s="116">
        <v>3</v>
      </c>
      <c r="F552" s="116">
        <v>8</v>
      </c>
      <c r="G552" s="116">
        <v>24</v>
      </c>
      <c r="H552" s="116">
        <v>3000</v>
      </c>
      <c r="I552" s="116">
        <v>3500</v>
      </c>
      <c r="J552" s="116">
        <v>357</v>
      </c>
      <c r="K552" s="117">
        <v>891</v>
      </c>
      <c r="L552" s="118" t="s">
        <v>517</v>
      </c>
      <c r="M552" s="119">
        <v>270000</v>
      </c>
      <c r="N552" s="120" t="s">
        <v>28</v>
      </c>
      <c r="O552" s="121">
        <v>1</v>
      </c>
      <c r="P552" s="121"/>
    </row>
    <row r="553" spans="2:19" ht="18">
      <c r="B553" s="96">
        <v>2026</v>
      </c>
      <c r="C553" s="96">
        <v>21</v>
      </c>
      <c r="D553" s="166">
        <v>43</v>
      </c>
      <c r="E553" s="96">
        <v>3</v>
      </c>
      <c r="F553" s="96">
        <v>8</v>
      </c>
      <c r="G553" s="96">
        <v>24</v>
      </c>
      <c r="H553" s="96">
        <v>5000</v>
      </c>
      <c r="I553" s="96"/>
      <c r="J553" s="96"/>
      <c r="K553" s="97"/>
      <c r="L553" s="98" t="s">
        <v>161</v>
      </c>
      <c r="M553" s="99">
        <f>+M554+M567+M570+M581</f>
        <v>7872724.9999999991</v>
      </c>
      <c r="N553" s="100"/>
      <c r="O553" s="101"/>
      <c r="P553" s="101"/>
    </row>
    <row r="554" spans="2:19" ht="18">
      <c r="B554" s="103">
        <v>2026</v>
      </c>
      <c r="C554" s="103">
        <v>21</v>
      </c>
      <c r="D554" s="167">
        <v>43</v>
      </c>
      <c r="E554" s="103">
        <v>3</v>
      </c>
      <c r="F554" s="103">
        <v>8</v>
      </c>
      <c r="G554" s="103">
        <v>24</v>
      </c>
      <c r="H554" s="103">
        <v>5000</v>
      </c>
      <c r="I554" s="103">
        <v>5100</v>
      </c>
      <c r="J554" s="103"/>
      <c r="K554" s="104"/>
      <c r="L554" s="105" t="s">
        <v>162</v>
      </c>
      <c r="M554" s="106">
        <f>+M555+M558</f>
        <v>198535.84</v>
      </c>
      <c r="N554" s="107"/>
      <c r="O554" s="108"/>
      <c r="P554" s="108"/>
    </row>
    <row r="555" spans="2:19" ht="18">
      <c r="B555" s="110">
        <v>2026</v>
      </c>
      <c r="C555" s="110">
        <v>21</v>
      </c>
      <c r="D555" s="168">
        <v>43</v>
      </c>
      <c r="E555" s="110">
        <v>3</v>
      </c>
      <c r="F555" s="110">
        <v>8</v>
      </c>
      <c r="G555" s="110">
        <v>24</v>
      </c>
      <c r="H555" s="110">
        <v>5000</v>
      </c>
      <c r="I555" s="110">
        <v>5100</v>
      </c>
      <c r="J555" s="110">
        <v>511</v>
      </c>
      <c r="K555" s="111"/>
      <c r="L555" s="123" t="s">
        <v>163</v>
      </c>
      <c r="M555" s="112">
        <f>SUBTOTAL(9,M556:M557)</f>
        <v>0</v>
      </c>
      <c r="N555" s="113"/>
      <c r="O555" s="114"/>
      <c r="P555" s="114"/>
    </row>
    <row r="556" spans="2:19" ht="18">
      <c r="B556" s="116">
        <v>2026</v>
      </c>
      <c r="C556" s="116">
        <v>21</v>
      </c>
      <c r="D556" s="169">
        <v>43</v>
      </c>
      <c r="E556" s="116">
        <v>3</v>
      </c>
      <c r="F556" s="116">
        <v>8</v>
      </c>
      <c r="G556" s="116">
        <v>24</v>
      </c>
      <c r="H556" s="116">
        <v>5000</v>
      </c>
      <c r="I556" s="116">
        <v>5100</v>
      </c>
      <c r="J556" s="116">
        <v>511</v>
      </c>
      <c r="K556" s="117">
        <v>934</v>
      </c>
      <c r="L556" s="118" t="s">
        <v>183</v>
      </c>
      <c r="M556" s="119"/>
      <c r="N556" s="120" t="s">
        <v>56</v>
      </c>
      <c r="O556" s="121"/>
      <c r="P556" s="121"/>
    </row>
    <row r="557" spans="2:19" ht="18">
      <c r="B557" s="116">
        <v>2026</v>
      </c>
      <c r="C557" s="116">
        <v>21</v>
      </c>
      <c r="D557" s="169">
        <v>43</v>
      </c>
      <c r="E557" s="116">
        <v>3</v>
      </c>
      <c r="F557" s="116">
        <v>8</v>
      </c>
      <c r="G557" s="116">
        <v>24</v>
      </c>
      <c r="H557" s="116">
        <v>5000</v>
      </c>
      <c r="I557" s="116">
        <v>5100</v>
      </c>
      <c r="J557" s="116">
        <v>511</v>
      </c>
      <c r="K557" s="117">
        <v>1301</v>
      </c>
      <c r="L557" s="118" t="s">
        <v>181</v>
      </c>
      <c r="M557" s="119"/>
      <c r="N557" s="120" t="s">
        <v>56</v>
      </c>
      <c r="O557" s="121"/>
      <c r="P557" s="121"/>
    </row>
    <row r="558" spans="2:19" ht="18">
      <c r="B558" s="110">
        <v>2026</v>
      </c>
      <c r="C558" s="110">
        <v>21</v>
      </c>
      <c r="D558" s="168">
        <v>43</v>
      </c>
      <c r="E558" s="110">
        <v>3</v>
      </c>
      <c r="F558" s="110">
        <v>8</v>
      </c>
      <c r="G558" s="110">
        <v>24</v>
      </c>
      <c r="H558" s="110">
        <v>5000</v>
      </c>
      <c r="I558" s="110">
        <v>5100</v>
      </c>
      <c r="J558" s="110">
        <v>515</v>
      </c>
      <c r="K558" s="111"/>
      <c r="L558" s="123" t="s">
        <v>186</v>
      </c>
      <c r="M558" s="112">
        <f>SUBTOTAL(9,M559:M566)</f>
        <v>198535.84</v>
      </c>
      <c r="N558" s="113"/>
      <c r="O558" s="114"/>
      <c r="P558" s="114"/>
    </row>
    <row r="559" spans="2:19" ht="18">
      <c r="B559" s="116">
        <v>2026</v>
      </c>
      <c r="C559" s="116">
        <v>21</v>
      </c>
      <c r="D559" s="169">
        <v>43</v>
      </c>
      <c r="E559" s="116">
        <v>3</v>
      </c>
      <c r="F559" s="116">
        <v>8</v>
      </c>
      <c r="G559" s="116">
        <v>24</v>
      </c>
      <c r="H559" s="116">
        <v>5000</v>
      </c>
      <c r="I559" s="116">
        <v>5100</v>
      </c>
      <c r="J559" s="116">
        <v>515</v>
      </c>
      <c r="K559" s="117">
        <v>361</v>
      </c>
      <c r="L559" s="118" t="s">
        <v>518</v>
      </c>
      <c r="M559" s="119">
        <v>66535.839999999997</v>
      </c>
      <c r="N559" s="120" t="s">
        <v>56</v>
      </c>
      <c r="O559" s="121">
        <v>2</v>
      </c>
      <c r="P559" s="121"/>
      <c r="S559" s="193"/>
    </row>
    <row r="560" spans="2:19" ht="18">
      <c r="B560" s="116">
        <v>2026</v>
      </c>
      <c r="C560" s="116">
        <v>21</v>
      </c>
      <c r="D560" s="169">
        <v>43</v>
      </c>
      <c r="E560" s="116">
        <v>3</v>
      </c>
      <c r="F560" s="116">
        <v>8</v>
      </c>
      <c r="G560" s="116">
        <v>24</v>
      </c>
      <c r="H560" s="116">
        <v>5000</v>
      </c>
      <c r="I560" s="116">
        <v>5100</v>
      </c>
      <c r="J560" s="116">
        <v>515</v>
      </c>
      <c r="K560" s="117">
        <v>373</v>
      </c>
      <c r="L560" s="118" t="s">
        <v>519</v>
      </c>
      <c r="M560" s="119">
        <v>10000</v>
      </c>
      <c r="N560" s="120" t="s">
        <v>56</v>
      </c>
      <c r="O560" s="121">
        <v>3</v>
      </c>
      <c r="P560" s="121"/>
    </row>
    <row r="561" spans="2:21" ht="18">
      <c r="B561" s="116">
        <v>2026</v>
      </c>
      <c r="C561" s="116">
        <v>21</v>
      </c>
      <c r="D561" s="169">
        <v>43</v>
      </c>
      <c r="E561" s="116">
        <v>3</v>
      </c>
      <c r="F561" s="116">
        <v>8</v>
      </c>
      <c r="G561" s="116">
        <v>24</v>
      </c>
      <c r="H561" s="116">
        <v>5000</v>
      </c>
      <c r="I561" s="116">
        <v>5100</v>
      </c>
      <c r="J561" s="116">
        <v>515</v>
      </c>
      <c r="K561" s="117">
        <v>492</v>
      </c>
      <c r="L561" s="118" t="s">
        <v>520</v>
      </c>
      <c r="M561" s="119">
        <v>30000</v>
      </c>
      <c r="N561" s="120" t="s">
        <v>56</v>
      </c>
      <c r="O561" s="121">
        <v>2</v>
      </c>
      <c r="P561" s="121"/>
    </row>
    <row r="562" spans="2:21" ht="18">
      <c r="B562" s="116">
        <v>2026</v>
      </c>
      <c r="C562" s="116">
        <v>21</v>
      </c>
      <c r="D562" s="169">
        <v>43</v>
      </c>
      <c r="E562" s="116">
        <v>3</v>
      </c>
      <c r="F562" s="116">
        <v>8</v>
      </c>
      <c r="G562" s="116">
        <v>24</v>
      </c>
      <c r="H562" s="116">
        <v>5000</v>
      </c>
      <c r="I562" s="116">
        <v>5100</v>
      </c>
      <c r="J562" s="116">
        <v>515</v>
      </c>
      <c r="K562" s="117">
        <v>1039</v>
      </c>
      <c r="L562" s="118" t="s">
        <v>521</v>
      </c>
      <c r="M562" s="119"/>
      <c r="N562" s="120" t="s">
        <v>56</v>
      </c>
      <c r="O562" s="121"/>
      <c r="P562" s="121"/>
    </row>
    <row r="563" spans="2:21" ht="18">
      <c r="B563" s="116">
        <v>2026</v>
      </c>
      <c r="C563" s="116">
        <v>21</v>
      </c>
      <c r="D563" s="169">
        <v>43</v>
      </c>
      <c r="E563" s="116">
        <v>3</v>
      </c>
      <c r="F563" s="116">
        <v>8</v>
      </c>
      <c r="G563" s="116">
        <v>24</v>
      </c>
      <c r="H563" s="116">
        <v>5000</v>
      </c>
      <c r="I563" s="116">
        <v>5100</v>
      </c>
      <c r="J563" s="116">
        <v>515</v>
      </c>
      <c r="K563" s="117">
        <v>1241</v>
      </c>
      <c r="L563" s="118" t="s">
        <v>195</v>
      </c>
      <c r="M563" s="119">
        <v>2000</v>
      </c>
      <c r="N563" s="120" t="s">
        <v>56</v>
      </c>
      <c r="O563" s="121">
        <v>2</v>
      </c>
      <c r="P563" s="121"/>
    </row>
    <row r="564" spans="2:21" ht="18">
      <c r="B564" s="116">
        <v>2026</v>
      </c>
      <c r="C564" s="116">
        <v>21</v>
      </c>
      <c r="D564" s="169">
        <v>43</v>
      </c>
      <c r="E564" s="116">
        <v>3</v>
      </c>
      <c r="F564" s="116">
        <v>8</v>
      </c>
      <c r="G564" s="116">
        <v>24</v>
      </c>
      <c r="H564" s="116">
        <v>5000</v>
      </c>
      <c r="I564" s="116">
        <v>5100</v>
      </c>
      <c r="J564" s="116">
        <v>515</v>
      </c>
      <c r="K564" s="117">
        <v>1287</v>
      </c>
      <c r="L564" s="118" t="s">
        <v>522</v>
      </c>
      <c r="M564" s="119">
        <v>15000</v>
      </c>
      <c r="N564" s="120" t="s">
        <v>56</v>
      </c>
      <c r="O564" s="121">
        <v>2</v>
      </c>
      <c r="P564" s="121"/>
    </row>
    <row r="565" spans="2:21" ht="18">
      <c r="B565" s="116">
        <v>2026</v>
      </c>
      <c r="C565" s="116">
        <v>21</v>
      </c>
      <c r="D565" s="169">
        <v>43</v>
      </c>
      <c r="E565" s="116">
        <v>3</v>
      </c>
      <c r="F565" s="116">
        <v>8</v>
      </c>
      <c r="G565" s="116">
        <v>24</v>
      </c>
      <c r="H565" s="116">
        <v>5000</v>
      </c>
      <c r="I565" s="116">
        <v>5100</v>
      </c>
      <c r="J565" s="116">
        <v>515</v>
      </c>
      <c r="K565" s="117">
        <v>1342</v>
      </c>
      <c r="L565" s="118" t="s">
        <v>523</v>
      </c>
      <c r="M565" s="119">
        <v>25000</v>
      </c>
      <c r="N565" s="120" t="s">
        <v>56</v>
      </c>
      <c r="O565" s="121">
        <v>2</v>
      </c>
      <c r="P565" s="121"/>
    </row>
    <row r="566" spans="2:21" ht="18">
      <c r="B566" s="116">
        <v>2026</v>
      </c>
      <c r="C566" s="116">
        <v>21</v>
      </c>
      <c r="D566" s="169">
        <v>43</v>
      </c>
      <c r="E566" s="116">
        <v>3</v>
      </c>
      <c r="F566" s="116">
        <v>8</v>
      </c>
      <c r="G566" s="116">
        <v>24</v>
      </c>
      <c r="H566" s="116">
        <v>5000</v>
      </c>
      <c r="I566" s="116">
        <v>5100</v>
      </c>
      <c r="J566" s="116">
        <v>515</v>
      </c>
      <c r="K566" s="117">
        <v>1476</v>
      </c>
      <c r="L566" s="118" t="s">
        <v>524</v>
      </c>
      <c r="M566" s="119">
        <v>50000</v>
      </c>
      <c r="N566" s="120" t="s">
        <v>56</v>
      </c>
      <c r="O566" s="121">
        <v>1</v>
      </c>
      <c r="P566" s="121"/>
    </row>
    <row r="567" spans="2:21" ht="18">
      <c r="B567" s="103">
        <v>2026</v>
      </c>
      <c r="C567" s="103">
        <v>21</v>
      </c>
      <c r="D567" s="167">
        <v>43</v>
      </c>
      <c r="E567" s="103">
        <v>3</v>
      </c>
      <c r="F567" s="103">
        <v>8</v>
      </c>
      <c r="G567" s="103">
        <v>24</v>
      </c>
      <c r="H567" s="103">
        <v>5000</v>
      </c>
      <c r="I567" s="103">
        <v>5200</v>
      </c>
      <c r="J567" s="103"/>
      <c r="K567" s="104"/>
      <c r="L567" s="105" t="s">
        <v>214</v>
      </c>
      <c r="M567" s="106">
        <f>+M568</f>
        <v>0</v>
      </c>
      <c r="N567" s="107"/>
      <c r="O567" s="154"/>
      <c r="P567" s="154"/>
    </row>
    <row r="568" spans="2:21" ht="18">
      <c r="B568" s="110">
        <v>2026</v>
      </c>
      <c r="C568" s="110">
        <v>21</v>
      </c>
      <c r="D568" s="168">
        <v>43</v>
      </c>
      <c r="E568" s="110">
        <v>3</v>
      </c>
      <c r="F568" s="110">
        <v>8</v>
      </c>
      <c r="G568" s="110">
        <v>24</v>
      </c>
      <c r="H568" s="110">
        <v>5000</v>
      </c>
      <c r="I568" s="110">
        <v>5200</v>
      </c>
      <c r="J568" s="110">
        <v>521</v>
      </c>
      <c r="K568" s="111"/>
      <c r="L568" s="123" t="s">
        <v>215</v>
      </c>
      <c r="M568" s="112">
        <f>+M569</f>
        <v>0</v>
      </c>
      <c r="N568" s="113"/>
      <c r="O568" s="158"/>
      <c r="P568" s="158"/>
    </row>
    <row r="569" spans="2:21" ht="18">
      <c r="B569" s="116">
        <v>2026</v>
      </c>
      <c r="C569" s="116">
        <v>21</v>
      </c>
      <c r="D569" s="169">
        <v>43</v>
      </c>
      <c r="E569" s="116">
        <v>3</v>
      </c>
      <c r="F569" s="116">
        <v>8</v>
      </c>
      <c r="G569" s="116">
        <v>24</v>
      </c>
      <c r="H569" s="116">
        <v>5000</v>
      </c>
      <c r="I569" s="116">
        <v>5200</v>
      </c>
      <c r="J569" s="116">
        <v>521</v>
      </c>
      <c r="K569" s="117">
        <v>1045</v>
      </c>
      <c r="L569" s="118" t="s">
        <v>525</v>
      </c>
      <c r="M569" s="119"/>
      <c r="N569" s="120" t="s">
        <v>526</v>
      </c>
      <c r="O569" s="159"/>
      <c r="P569" s="159"/>
    </row>
    <row r="570" spans="2:21" ht="18">
      <c r="B570" s="103">
        <v>2026</v>
      </c>
      <c r="C570" s="103">
        <v>21</v>
      </c>
      <c r="D570" s="167">
        <v>43</v>
      </c>
      <c r="E570" s="103">
        <v>3</v>
      </c>
      <c r="F570" s="103">
        <v>8</v>
      </c>
      <c r="G570" s="103">
        <v>24</v>
      </c>
      <c r="H570" s="103">
        <v>5000</v>
      </c>
      <c r="I570" s="103">
        <v>5600</v>
      </c>
      <c r="J570" s="103"/>
      <c r="K570" s="104"/>
      <c r="L570" s="105" t="s">
        <v>509</v>
      </c>
      <c r="M570" s="106">
        <f>+M571+M579</f>
        <v>7629189.1599999992</v>
      </c>
      <c r="N570" s="107"/>
      <c r="O570" s="108"/>
      <c r="P570" s="108"/>
    </row>
    <row r="571" spans="2:21" ht="18">
      <c r="B571" s="110">
        <v>2026</v>
      </c>
      <c r="C571" s="110">
        <v>21</v>
      </c>
      <c r="D571" s="168">
        <v>43</v>
      </c>
      <c r="E571" s="110">
        <v>3</v>
      </c>
      <c r="F571" s="110">
        <v>8</v>
      </c>
      <c r="G571" s="110">
        <v>24</v>
      </c>
      <c r="H571" s="110">
        <v>5000</v>
      </c>
      <c r="I571" s="110">
        <v>5600</v>
      </c>
      <c r="J571" s="110">
        <v>565</v>
      </c>
      <c r="K571" s="111"/>
      <c r="L571" s="123" t="s">
        <v>510</v>
      </c>
      <c r="M571" s="112">
        <f>SUBTOTAL(9,M572:M578)</f>
        <v>6801916.4799999995</v>
      </c>
      <c r="N571" s="113"/>
      <c r="O571" s="114"/>
      <c r="P571" s="114"/>
    </row>
    <row r="572" spans="2:21" ht="18">
      <c r="B572" s="116">
        <v>2026</v>
      </c>
      <c r="C572" s="116">
        <v>21</v>
      </c>
      <c r="D572" s="169">
        <v>43</v>
      </c>
      <c r="E572" s="116">
        <v>3</v>
      </c>
      <c r="F572" s="116">
        <v>8</v>
      </c>
      <c r="G572" s="116">
        <v>24</v>
      </c>
      <c r="H572" s="116">
        <v>5000</v>
      </c>
      <c r="I572" s="116">
        <v>5600</v>
      </c>
      <c r="J572" s="116">
        <v>565</v>
      </c>
      <c r="K572" s="117">
        <v>206</v>
      </c>
      <c r="L572" s="118" t="s">
        <v>527</v>
      </c>
      <c r="M572" s="119">
        <v>4178909.28</v>
      </c>
      <c r="N572" s="120" t="s">
        <v>56</v>
      </c>
      <c r="O572" s="121">
        <v>52</v>
      </c>
      <c r="P572" s="121"/>
      <c r="R572" s="193"/>
      <c r="S572" s="193"/>
      <c r="T572" s="192"/>
      <c r="U572" s="192"/>
    </row>
    <row r="573" spans="2:21" ht="18">
      <c r="B573" s="116">
        <v>2026</v>
      </c>
      <c r="C573" s="116">
        <v>21</v>
      </c>
      <c r="D573" s="169">
        <v>43</v>
      </c>
      <c r="E573" s="116">
        <v>3</v>
      </c>
      <c r="F573" s="116">
        <v>8</v>
      </c>
      <c r="G573" s="116">
        <v>24</v>
      </c>
      <c r="H573" s="116">
        <v>5000</v>
      </c>
      <c r="I573" s="116">
        <v>5600</v>
      </c>
      <c r="J573" s="116">
        <v>565</v>
      </c>
      <c r="K573" s="117">
        <v>208</v>
      </c>
      <c r="L573" s="118" t="s">
        <v>528</v>
      </c>
      <c r="M573" s="119">
        <v>360000</v>
      </c>
      <c r="N573" s="120" t="s">
        <v>56</v>
      </c>
      <c r="O573" s="121">
        <v>9</v>
      </c>
      <c r="P573" s="121"/>
      <c r="R573" s="193"/>
      <c r="S573" s="193"/>
      <c r="T573" s="192"/>
      <c r="U573" s="192"/>
    </row>
    <row r="574" spans="2:21" ht="18">
      <c r="B574" s="116">
        <v>2026</v>
      </c>
      <c r="C574" s="116">
        <v>21</v>
      </c>
      <c r="D574" s="169">
        <v>43</v>
      </c>
      <c r="E574" s="116">
        <v>3</v>
      </c>
      <c r="F574" s="116">
        <v>8</v>
      </c>
      <c r="G574" s="116">
        <v>24</v>
      </c>
      <c r="H574" s="116">
        <v>5000</v>
      </c>
      <c r="I574" s="116">
        <v>5600</v>
      </c>
      <c r="J574" s="116">
        <v>565</v>
      </c>
      <c r="K574" s="117">
        <v>513</v>
      </c>
      <c r="L574" s="118" t="s">
        <v>529</v>
      </c>
      <c r="M574" s="119">
        <v>212727.32</v>
      </c>
      <c r="N574" s="120" t="s">
        <v>56</v>
      </c>
      <c r="O574" s="121">
        <v>52</v>
      </c>
      <c r="P574" s="121"/>
      <c r="R574" s="193"/>
      <c r="S574" s="193"/>
      <c r="T574" s="192"/>
      <c r="U574" s="192"/>
    </row>
    <row r="575" spans="2:21" ht="18">
      <c r="B575" s="116">
        <v>2026</v>
      </c>
      <c r="C575" s="116">
        <v>21</v>
      </c>
      <c r="D575" s="169">
        <v>43</v>
      </c>
      <c r="E575" s="116">
        <v>3</v>
      </c>
      <c r="F575" s="116">
        <v>8</v>
      </c>
      <c r="G575" s="116">
        <v>24</v>
      </c>
      <c r="H575" s="116">
        <v>5000</v>
      </c>
      <c r="I575" s="116">
        <v>5600</v>
      </c>
      <c r="J575" s="116">
        <v>565</v>
      </c>
      <c r="K575" s="117">
        <v>689</v>
      </c>
      <c r="L575" s="118" t="s">
        <v>530</v>
      </c>
      <c r="M575" s="119">
        <v>378181.96</v>
      </c>
      <c r="N575" s="120" t="s">
        <v>56</v>
      </c>
      <c r="O575" s="121">
        <v>52</v>
      </c>
      <c r="P575" s="121"/>
      <c r="R575" s="193"/>
      <c r="S575" s="193"/>
      <c r="T575" s="192"/>
      <c r="U575" s="192"/>
    </row>
    <row r="576" spans="2:21" ht="18">
      <c r="B576" s="116">
        <v>2026</v>
      </c>
      <c r="C576" s="116">
        <v>21</v>
      </c>
      <c r="D576" s="169">
        <v>43</v>
      </c>
      <c r="E576" s="116">
        <v>3</v>
      </c>
      <c r="F576" s="116">
        <v>8</v>
      </c>
      <c r="G576" s="116">
        <v>24</v>
      </c>
      <c r="H576" s="116">
        <v>5000</v>
      </c>
      <c r="I576" s="116">
        <v>5600</v>
      </c>
      <c r="J576" s="116">
        <v>565</v>
      </c>
      <c r="K576" s="117">
        <v>1142</v>
      </c>
      <c r="L576" s="118" t="s">
        <v>531</v>
      </c>
      <c r="M576" s="119">
        <v>1418181.96</v>
      </c>
      <c r="N576" s="120" t="s">
        <v>56</v>
      </c>
      <c r="O576" s="121">
        <v>52</v>
      </c>
      <c r="P576" s="121"/>
      <c r="R576" s="193"/>
      <c r="S576" s="193"/>
      <c r="T576" s="192"/>
      <c r="U576" s="192"/>
    </row>
    <row r="577" spans="2:21" ht="18">
      <c r="B577" s="116">
        <v>2026</v>
      </c>
      <c r="C577" s="116">
        <v>21</v>
      </c>
      <c r="D577" s="169">
        <v>43</v>
      </c>
      <c r="E577" s="116">
        <v>3</v>
      </c>
      <c r="F577" s="116">
        <v>8</v>
      </c>
      <c r="G577" s="116">
        <v>24</v>
      </c>
      <c r="H577" s="116">
        <v>5000</v>
      </c>
      <c r="I577" s="116">
        <v>5600</v>
      </c>
      <c r="J577" s="116">
        <v>565</v>
      </c>
      <c r="K577" s="117">
        <v>1207</v>
      </c>
      <c r="L577" s="118" t="s">
        <v>532</v>
      </c>
      <c r="M577" s="119">
        <v>33915.96</v>
      </c>
      <c r="N577" s="120" t="s">
        <v>56</v>
      </c>
      <c r="O577" s="121">
        <v>52</v>
      </c>
      <c r="P577" s="121"/>
      <c r="R577" s="193"/>
      <c r="S577" s="193"/>
      <c r="T577" s="192"/>
      <c r="U577" s="192"/>
    </row>
    <row r="578" spans="2:21" ht="18">
      <c r="B578" s="116">
        <v>2026</v>
      </c>
      <c r="C578" s="116">
        <v>21</v>
      </c>
      <c r="D578" s="169">
        <v>43</v>
      </c>
      <c r="E578" s="116">
        <v>3</v>
      </c>
      <c r="F578" s="116">
        <v>8</v>
      </c>
      <c r="G578" s="116">
        <v>24</v>
      </c>
      <c r="H578" s="116">
        <v>5000</v>
      </c>
      <c r="I578" s="116">
        <v>5600</v>
      </c>
      <c r="J578" s="116">
        <v>565</v>
      </c>
      <c r="K578" s="117">
        <v>1452</v>
      </c>
      <c r="L578" s="118" t="s">
        <v>533</v>
      </c>
      <c r="M578" s="119">
        <v>220000</v>
      </c>
      <c r="N578" s="120" t="s">
        <v>56</v>
      </c>
      <c r="O578" s="121">
        <v>1</v>
      </c>
      <c r="P578" s="121"/>
      <c r="R578" s="193"/>
      <c r="S578" s="193"/>
      <c r="T578" s="192"/>
      <c r="U578" s="192"/>
    </row>
    <row r="579" spans="2:21" ht="18">
      <c r="B579" s="110">
        <v>2026</v>
      </c>
      <c r="C579" s="110">
        <v>21</v>
      </c>
      <c r="D579" s="168">
        <v>43</v>
      </c>
      <c r="E579" s="110">
        <v>3</v>
      </c>
      <c r="F579" s="110">
        <v>8</v>
      </c>
      <c r="G579" s="110">
        <v>24</v>
      </c>
      <c r="H579" s="110">
        <v>5000</v>
      </c>
      <c r="I579" s="110">
        <v>5600</v>
      </c>
      <c r="J579" s="110">
        <v>566</v>
      </c>
      <c r="K579" s="111"/>
      <c r="L579" s="123" t="s">
        <v>513</v>
      </c>
      <c r="M579" s="112">
        <f>SUBTOTAL(9,M580)</f>
        <v>827272.68</v>
      </c>
      <c r="N579" s="113"/>
      <c r="O579" s="114"/>
      <c r="P579" s="114"/>
      <c r="R579" s="193"/>
      <c r="S579" s="193"/>
      <c r="T579" s="192"/>
      <c r="U579" s="192"/>
    </row>
    <row r="580" spans="2:21" ht="36">
      <c r="B580" s="116">
        <v>2026</v>
      </c>
      <c r="C580" s="116">
        <v>21</v>
      </c>
      <c r="D580" s="169">
        <v>43</v>
      </c>
      <c r="E580" s="116">
        <v>3</v>
      </c>
      <c r="F580" s="116">
        <v>8</v>
      </c>
      <c r="G580" s="116">
        <v>24</v>
      </c>
      <c r="H580" s="116">
        <v>5000</v>
      </c>
      <c r="I580" s="116">
        <v>5600</v>
      </c>
      <c r="J580" s="116">
        <v>566</v>
      </c>
      <c r="K580" s="117">
        <v>539</v>
      </c>
      <c r="L580" s="118" t="s">
        <v>534</v>
      </c>
      <c r="M580" s="119">
        <v>827272.68</v>
      </c>
      <c r="N580" s="120" t="s">
        <v>56</v>
      </c>
      <c r="O580" s="121">
        <v>52</v>
      </c>
      <c r="P580" s="121"/>
      <c r="R580" s="193"/>
      <c r="S580" s="193"/>
      <c r="T580" s="192"/>
      <c r="U580" s="192"/>
    </row>
    <row r="581" spans="2:21" ht="18">
      <c r="B581" s="103">
        <v>2026</v>
      </c>
      <c r="C581" s="103">
        <v>21</v>
      </c>
      <c r="D581" s="167">
        <v>43</v>
      </c>
      <c r="E581" s="103">
        <v>3</v>
      </c>
      <c r="F581" s="103">
        <v>8</v>
      </c>
      <c r="G581" s="103">
        <v>24</v>
      </c>
      <c r="H581" s="103">
        <v>5000</v>
      </c>
      <c r="I581" s="103">
        <v>5900</v>
      </c>
      <c r="J581" s="103"/>
      <c r="K581" s="104"/>
      <c r="L581" s="105" t="s">
        <v>299</v>
      </c>
      <c r="M581" s="106">
        <f>+M582</f>
        <v>45000</v>
      </c>
      <c r="N581" s="107"/>
      <c r="O581" s="108"/>
      <c r="P581" s="108"/>
      <c r="U581" s="192"/>
    </row>
    <row r="582" spans="2:21" ht="18">
      <c r="B582" s="110">
        <v>2026</v>
      </c>
      <c r="C582" s="110">
        <v>21</v>
      </c>
      <c r="D582" s="168">
        <v>43</v>
      </c>
      <c r="E582" s="110">
        <v>3</v>
      </c>
      <c r="F582" s="110">
        <v>8</v>
      </c>
      <c r="G582" s="110">
        <v>24</v>
      </c>
      <c r="H582" s="110">
        <v>5000</v>
      </c>
      <c r="I582" s="110">
        <v>5900</v>
      </c>
      <c r="J582" s="110">
        <v>597</v>
      </c>
      <c r="K582" s="111"/>
      <c r="L582" s="123" t="s">
        <v>303</v>
      </c>
      <c r="M582" s="112">
        <f>+M583</f>
        <v>45000</v>
      </c>
      <c r="N582" s="113"/>
      <c r="O582" s="114"/>
      <c r="P582" s="114"/>
      <c r="S582" s="192"/>
      <c r="U582" s="192"/>
    </row>
    <row r="583" spans="2:21" ht="18">
      <c r="B583" s="116">
        <v>2026</v>
      </c>
      <c r="C583" s="116">
        <v>21</v>
      </c>
      <c r="D583" s="169">
        <v>43</v>
      </c>
      <c r="E583" s="116">
        <v>3</v>
      </c>
      <c r="F583" s="116">
        <v>8</v>
      </c>
      <c r="G583" s="116">
        <v>24</v>
      </c>
      <c r="H583" s="116">
        <v>5000</v>
      </c>
      <c r="I583" s="116">
        <v>5900</v>
      </c>
      <c r="J583" s="116">
        <v>597</v>
      </c>
      <c r="K583" s="117">
        <v>851</v>
      </c>
      <c r="L583" s="118" t="s">
        <v>535</v>
      </c>
      <c r="M583" s="119">
        <v>45000</v>
      </c>
      <c r="N583" s="120" t="s">
        <v>302</v>
      </c>
      <c r="O583" s="121">
        <v>1</v>
      </c>
      <c r="P583" s="121"/>
    </row>
    <row r="584" spans="2:21" ht="36">
      <c r="B584" s="81">
        <v>2026</v>
      </c>
      <c r="C584" s="81">
        <v>21</v>
      </c>
      <c r="D584" s="82">
        <v>43</v>
      </c>
      <c r="E584" s="81">
        <v>3</v>
      </c>
      <c r="F584" s="81">
        <v>9</v>
      </c>
      <c r="G584" s="81"/>
      <c r="H584" s="81"/>
      <c r="I584" s="81"/>
      <c r="J584" s="81"/>
      <c r="K584" s="82"/>
      <c r="L584" s="83" t="s">
        <v>536</v>
      </c>
      <c r="M584" s="84">
        <f>+M585+M592</f>
        <v>41200</v>
      </c>
      <c r="N584" s="85" t="s">
        <v>341</v>
      </c>
      <c r="O584" s="86"/>
      <c r="P584" s="86"/>
      <c r="S584" s="193"/>
      <c r="U584" s="192"/>
    </row>
    <row r="585" spans="2:21" ht="36">
      <c r="B585" s="88">
        <v>2026</v>
      </c>
      <c r="C585" s="88">
        <v>21</v>
      </c>
      <c r="D585" s="165">
        <v>43</v>
      </c>
      <c r="E585" s="88">
        <v>3</v>
      </c>
      <c r="F585" s="88">
        <v>9</v>
      </c>
      <c r="G585" s="88">
        <v>26</v>
      </c>
      <c r="H585" s="88"/>
      <c r="I585" s="88"/>
      <c r="J585" s="88"/>
      <c r="K585" s="90"/>
      <c r="L585" s="91" t="s">
        <v>537</v>
      </c>
      <c r="M585" s="92">
        <f>+M586</f>
        <v>41200</v>
      </c>
      <c r="N585" s="93"/>
      <c r="O585" s="94"/>
      <c r="P585" s="94"/>
    </row>
    <row r="586" spans="2:21" ht="18">
      <c r="B586" s="96">
        <v>2026</v>
      </c>
      <c r="C586" s="96">
        <v>21</v>
      </c>
      <c r="D586" s="166">
        <v>43</v>
      </c>
      <c r="E586" s="96">
        <v>3</v>
      </c>
      <c r="F586" s="96">
        <v>9</v>
      </c>
      <c r="G586" s="96">
        <v>26</v>
      </c>
      <c r="H586" s="96">
        <v>3000</v>
      </c>
      <c r="I586" s="96"/>
      <c r="J586" s="96"/>
      <c r="K586" s="97"/>
      <c r="L586" s="98" t="s">
        <v>24</v>
      </c>
      <c r="M586" s="99">
        <f>+M587</f>
        <v>41200</v>
      </c>
      <c r="N586" s="100"/>
      <c r="O586" s="101"/>
      <c r="P586" s="101"/>
    </row>
    <row r="587" spans="2:21" ht="18">
      <c r="B587" s="103">
        <v>2026</v>
      </c>
      <c r="C587" s="103">
        <v>21</v>
      </c>
      <c r="D587" s="167">
        <v>43</v>
      </c>
      <c r="E587" s="103">
        <v>3</v>
      </c>
      <c r="F587" s="103">
        <v>9</v>
      </c>
      <c r="G587" s="103">
        <v>26</v>
      </c>
      <c r="H587" s="103">
        <v>3000</v>
      </c>
      <c r="I587" s="103">
        <v>3100</v>
      </c>
      <c r="J587" s="103"/>
      <c r="K587" s="104"/>
      <c r="L587" s="105" t="s">
        <v>151</v>
      </c>
      <c r="M587" s="106">
        <f>+M588</f>
        <v>41200</v>
      </c>
      <c r="N587" s="107"/>
      <c r="O587" s="154"/>
      <c r="P587" s="154"/>
    </row>
    <row r="588" spans="2:21" ht="18">
      <c r="B588" s="110">
        <v>2026</v>
      </c>
      <c r="C588" s="110">
        <v>21</v>
      </c>
      <c r="D588" s="168">
        <v>43</v>
      </c>
      <c r="E588" s="110">
        <v>3</v>
      </c>
      <c r="F588" s="110">
        <v>9</v>
      </c>
      <c r="G588" s="110">
        <v>26</v>
      </c>
      <c r="H588" s="110">
        <v>3000</v>
      </c>
      <c r="I588" s="110">
        <v>3100</v>
      </c>
      <c r="J588" s="110">
        <v>319</v>
      </c>
      <c r="K588" s="111"/>
      <c r="L588" s="123" t="s">
        <v>538</v>
      </c>
      <c r="M588" s="112">
        <f>+M589</f>
        <v>41200</v>
      </c>
      <c r="N588" s="113"/>
      <c r="O588" s="155"/>
      <c r="P588" s="155"/>
    </row>
    <row r="589" spans="2:21" ht="18">
      <c r="B589" s="116">
        <v>2026</v>
      </c>
      <c r="C589" s="116">
        <v>21</v>
      </c>
      <c r="D589" s="169">
        <v>43</v>
      </c>
      <c r="E589" s="116">
        <v>3</v>
      </c>
      <c r="F589" s="116">
        <v>9</v>
      </c>
      <c r="G589" s="116">
        <v>26</v>
      </c>
      <c r="H589" s="116">
        <v>3000</v>
      </c>
      <c r="I589" s="116">
        <v>3100</v>
      </c>
      <c r="J589" s="116">
        <v>319</v>
      </c>
      <c r="K589" s="117">
        <v>1281</v>
      </c>
      <c r="L589" s="118" t="s">
        <v>539</v>
      </c>
      <c r="M589" s="119">
        <v>41200</v>
      </c>
      <c r="N589" s="120" t="s">
        <v>28</v>
      </c>
      <c r="O589" s="121">
        <v>1</v>
      </c>
      <c r="P589" s="121"/>
    </row>
    <row r="592" spans="2:21" ht="104.25" customHeight="1"/>
    <row r="593" spans="9:12" ht="51" customHeight="1">
      <c r="I593" s="208" t="s">
        <v>542</v>
      </c>
      <c r="J593" s="208"/>
      <c r="K593" s="208"/>
      <c r="L593" s="208"/>
    </row>
    <row r="594" spans="9:12" ht="18">
      <c r="I594" s="208" t="s">
        <v>543</v>
      </c>
      <c r="J594" s="208"/>
      <c r="K594" s="208"/>
      <c r="L594" s="208"/>
    </row>
  </sheetData>
  <sheetProtection selectLockedCells="1"/>
  <mergeCells count="17">
    <mergeCell ref="I593:L593"/>
    <mergeCell ref="I594:L594"/>
    <mergeCell ref="B7:B8"/>
    <mergeCell ref="C7:C8"/>
    <mergeCell ref="E7:E8"/>
    <mergeCell ref="F7:F8"/>
    <mergeCell ref="G7:G8"/>
    <mergeCell ref="D7:D8"/>
    <mergeCell ref="L7:L8"/>
    <mergeCell ref="N7:N8"/>
    <mergeCell ref="O7:O8"/>
    <mergeCell ref="P7:P8"/>
    <mergeCell ref="G6:K6"/>
    <mergeCell ref="H7:H8"/>
    <mergeCell ref="I7:I8"/>
    <mergeCell ref="J7:J8"/>
    <mergeCell ref="K7:K8"/>
  </mergeCells>
  <conditionalFormatting sqref="L3:M4">
    <cfRule type="cellIs" dxfId="1" priority="3" operator="lessThan">
      <formula>0</formula>
    </cfRule>
    <cfRule type="cellIs" dxfId="0" priority="4" operator="greaterThan">
      <formula>0</formula>
    </cfRule>
  </conditionalFormatting>
  <printOptions horizontalCentered="1"/>
  <pageMargins left="0" right="0" top="0.44" bottom="0" header="0" footer="0.45"/>
  <pageSetup paperSize="3" scale="80" fitToHeight="0" orientation="landscape" useFirstPageNumber="1" r:id="rId1"/>
  <headerFooter>
    <oddHeader>&amp;R&amp;14Página &amp;P</oddHeader>
    <oddFooter xml:space="preserve">&amp;R
</oddFooter>
  </headerFooter>
  <rowBreaks count="15" manualBreakCount="15">
    <brk id="36" max="16383" man="1"/>
    <brk id="76" max="16383" man="1"/>
    <brk id="127" max="16383" man="1"/>
    <brk id="169" max="16383" man="1"/>
    <brk id="207" max="16383" man="1"/>
    <brk id="246" max="16383" man="1"/>
    <brk id="287" max="16383" man="1"/>
    <brk id="315" max="16383" man="1"/>
    <brk id="347" max="16383" man="1"/>
    <brk id="389" max="16383" man="1"/>
    <brk id="435" max="16383" man="1"/>
    <brk id="471" max="16383" man="1"/>
    <brk id="506" max="16383" man="1"/>
    <brk id="533" max="16383" man="1"/>
    <brk id="56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 PROG-SUBP VF FORTAMUN</vt:lpstr>
      <vt:lpstr>EPP FORTAMUN 26</vt:lpstr>
      <vt:lpstr>'EPP FORTAMUN 26'!Área_de_impresión</vt:lpstr>
      <vt:lpstr>'RESUMEN PROG-SUBP VF FORTAMUN'!Área_de_impresión</vt:lpstr>
    </vt:vector>
  </TitlesOfParts>
  <Manager/>
  <Company>SSPC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Sánchez Sánchez</dc:creator>
  <cp:keywords/>
  <dc:description/>
  <cp:lastModifiedBy>OBRAS PUBLICAS</cp:lastModifiedBy>
  <cp:revision/>
  <cp:lastPrinted>2026-05-08T23:04:40Z</cp:lastPrinted>
  <dcterms:created xsi:type="dcterms:W3CDTF">2025-11-11T23:57:34Z</dcterms:created>
  <dcterms:modified xsi:type="dcterms:W3CDTF">2026-05-09T19:57:39Z</dcterms:modified>
  <cp:category/>
  <cp:contentStatus/>
</cp:coreProperties>
</file>